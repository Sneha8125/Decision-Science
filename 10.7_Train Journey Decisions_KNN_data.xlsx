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9b4a124cc33975/Documents/"/>
    </mc:Choice>
  </mc:AlternateContent>
  <xr:revisionPtr revIDLastSave="126" documentId="8_{ACA51D22-1A0F-43E2-AF87-3568754FE3F6}" xr6:coauthVersionLast="47" xr6:coauthVersionMax="47" xr10:uidLastSave="{2E4F4703-CBB5-43A6-8247-ACA93FB03420}"/>
  <bookViews>
    <workbookView xWindow="-108" yWindow="-108" windowWidth="23256" windowHeight="12456" xr2:uid="{EE9DF08D-E5FC-4B82-85C1-EA17ED978F38}"/>
  </bookViews>
  <sheets>
    <sheet name="Example 10.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3" i="1" l="1" a="1"/>
  <c r="S53" i="1" s="1"/>
  <c r="S54" i="1" a="1"/>
  <c r="S54" i="1" s="1"/>
  <c r="S55" i="1" a="1"/>
  <c r="S55" i="1" s="1"/>
  <c r="S56" i="1" a="1"/>
  <c r="S56" i="1"/>
  <c r="S52" i="1" a="1"/>
  <c r="S52" i="1" s="1"/>
  <c r="R53" i="1"/>
  <c r="R54" i="1"/>
  <c r="R55" i="1"/>
  <c r="R56" i="1"/>
  <c r="R52" i="1"/>
  <c r="Q54" i="1"/>
  <c r="Q53" i="1"/>
  <c r="Q55" i="1"/>
  <c r="Q56" i="1"/>
  <c r="Q52" i="1"/>
  <c r="C44" i="1"/>
  <c r="C45" i="1"/>
  <c r="K28" i="1" s="1"/>
  <c r="D45" i="1"/>
  <c r="E45" i="1"/>
  <c r="M18" i="1" s="1"/>
  <c r="G45" i="1"/>
  <c r="O47" i="1" s="1"/>
  <c r="F45" i="1"/>
  <c r="N14" i="1" s="1"/>
  <c r="K47" i="1"/>
  <c r="N20" i="1"/>
  <c r="L15" i="1"/>
  <c r="K19" i="1"/>
  <c r="D44" i="1"/>
  <c r="L47" i="1"/>
  <c r="G44" i="1"/>
  <c r="F44" i="1"/>
  <c r="E44" i="1"/>
  <c r="M13" i="1" s="1"/>
  <c r="K15" i="1"/>
  <c r="K16" i="1"/>
  <c r="K29" i="1"/>
  <c r="K43" i="1"/>
  <c r="O24" i="1"/>
  <c r="O32" i="1"/>
  <c r="O40" i="1"/>
  <c r="N10" i="1"/>
  <c r="N11" i="1"/>
  <c r="N32" i="1"/>
  <c r="N38" i="1"/>
  <c r="M9" i="1"/>
  <c r="M11" i="1"/>
  <c r="M12" i="1"/>
  <c r="M17" i="1"/>
  <c r="M20" i="1"/>
  <c r="M21" i="1"/>
  <c r="M26" i="1"/>
  <c r="M27" i="1"/>
  <c r="M28" i="1"/>
  <c r="M32" i="1"/>
  <c r="M35" i="1"/>
  <c r="M37" i="1"/>
  <c r="M38" i="1"/>
  <c r="M40" i="1"/>
  <c r="M45" i="1"/>
  <c r="M46" i="1"/>
  <c r="L9" i="1"/>
  <c r="L10" i="1"/>
  <c r="L11" i="1"/>
  <c r="L13" i="1"/>
  <c r="L19" i="1"/>
  <c r="L20" i="1"/>
  <c r="L22" i="1"/>
  <c r="L25" i="1"/>
  <c r="L26" i="1"/>
  <c r="L31" i="1"/>
  <c r="L34" i="1"/>
  <c r="L35" i="1"/>
  <c r="L36" i="1"/>
  <c r="L37" i="1"/>
  <c r="L38" i="1"/>
  <c r="L42" i="1"/>
  <c r="L43" i="1"/>
  <c r="L44" i="1"/>
  <c r="L45" i="1"/>
  <c r="L46" i="1"/>
  <c r="L8" i="1"/>
  <c r="K39" i="1" l="1"/>
  <c r="M36" i="1"/>
  <c r="M22" i="1"/>
  <c r="M10" i="1"/>
  <c r="M14" i="1"/>
  <c r="M44" i="1"/>
  <c r="M30" i="1"/>
  <c r="M19" i="1"/>
  <c r="M47" i="1"/>
  <c r="M41" i="1"/>
  <c r="M29" i="1"/>
  <c r="O16" i="1"/>
  <c r="N37" i="1"/>
  <c r="O9" i="1"/>
  <c r="N30" i="1"/>
  <c r="N47" i="1"/>
  <c r="N29" i="1"/>
  <c r="N46" i="1"/>
  <c r="N24" i="1"/>
  <c r="N45" i="1"/>
  <c r="N21" i="1"/>
  <c r="N12" i="1"/>
  <c r="N40" i="1"/>
  <c r="M43" i="1"/>
  <c r="M34" i="1"/>
  <c r="M25" i="1"/>
  <c r="M16" i="1"/>
  <c r="M42" i="1"/>
  <c r="M33" i="1"/>
  <c r="M24" i="1"/>
  <c r="L41" i="1"/>
  <c r="L29" i="1"/>
  <c r="L18" i="1"/>
  <c r="L39" i="1"/>
  <c r="L28" i="1"/>
  <c r="L17" i="1"/>
  <c r="L12" i="1"/>
  <c r="L27" i="1"/>
  <c r="K38" i="1"/>
  <c r="K27" i="1"/>
  <c r="K14" i="1"/>
  <c r="K37" i="1"/>
  <c r="K24" i="1"/>
  <c r="K13" i="1"/>
  <c r="K36" i="1"/>
  <c r="K23" i="1"/>
  <c r="K12" i="1"/>
  <c r="K8" i="1"/>
  <c r="K35" i="1"/>
  <c r="K22" i="1"/>
  <c r="K11" i="1"/>
  <c r="K45" i="1"/>
  <c r="K32" i="1"/>
  <c r="K21" i="1"/>
  <c r="K46" i="1"/>
  <c r="K44" i="1"/>
  <c r="K31" i="1"/>
  <c r="L33" i="1"/>
  <c r="L23" i="1"/>
  <c r="L14" i="1"/>
  <c r="L16" i="1"/>
  <c r="L30" i="1"/>
  <c r="L21" i="1"/>
  <c r="K40" i="1"/>
  <c r="K30" i="1"/>
  <c r="K20" i="1"/>
  <c r="N36" i="1"/>
  <c r="N9" i="1"/>
  <c r="N43" i="1"/>
  <c r="N35" i="1"/>
  <c r="N27" i="1"/>
  <c r="N18" i="1"/>
  <c r="N44" i="1"/>
  <c r="N28" i="1"/>
  <c r="N19" i="1"/>
  <c r="N42" i="1"/>
  <c r="N34" i="1"/>
  <c r="N26" i="1"/>
  <c r="N17" i="1"/>
  <c r="N41" i="1"/>
  <c r="N33" i="1"/>
  <c r="N25" i="1"/>
  <c r="N16" i="1"/>
  <c r="N8" i="1"/>
  <c r="N39" i="1"/>
  <c r="N31" i="1"/>
  <c r="N22" i="1"/>
  <c r="N13" i="1"/>
  <c r="O39" i="1"/>
  <c r="O15" i="1"/>
  <c r="O46" i="1"/>
  <c r="O22" i="1"/>
  <c r="O45" i="1"/>
  <c r="O37" i="1"/>
  <c r="O29" i="1"/>
  <c r="O21" i="1"/>
  <c r="O13" i="1"/>
  <c r="O23" i="1"/>
  <c r="O38" i="1"/>
  <c r="O14" i="1"/>
  <c r="O44" i="1"/>
  <c r="O36" i="1"/>
  <c r="O28" i="1"/>
  <c r="O20" i="1"/>
  <c r="O12" i="1"/>
  <c r="O31" i="1"/>
  <c r="O30" i="1"/>
  <c r="O43" i="1"/>
  <c r="O35" i="1"/>
  <c r="O27" i="1"/>
  <c r="O19" i="1"/>
  <c r="O11" i="1"/>
  <c r="O10" i="1"/>
  <c r="O8" i="1"/>
  <c r="O42" i="1"/>
  <c r="O34" i="1"/>
  <c r="O26" i="1"/>
  <c r="O18" i="1"/>
  <c r="O41" i="1"/>
  <c r="O33" i="1"/>
  <c r="O25" i="1"/>
  <c r="O17" i="1"/>
  <c r="N23" i="1"/>
  <c r="N15" i="1"/>
  <c r="M8" i="1"/>
  <c r="M39" i="1"/>
  <c r="M31" i="1"/>
  <c r="M23" i="1"/>
  <c r="M15" i="1"/>
  <c r="L40" i="1"/>
  <c r="L32" i="1"/>
  <c r="L24" i="1"/>
  <c r="K42" i="1"/>
  <c r="K34" i="1"/>
  <c r="K26" i="1"/>
  <c r="K18" i="1"/>
  <c r="K10" i="1"/>
  <c r="K41" i="1"/>
  <c r="K33" i="1"/>
  <c r="K25" i="1"/>
  <c r="K17" i="1"/>
  <c r="K9" i="1"/>
  <c r="Q13" i="1" l="1"/>
  <c r="Q38" i="1"/>
  <c r="Q29" i="1"/>
  <c r="Q46" i="1"/>
  <c r="Q37" i="1"/>
  <c r="Q32" i="1"/>
  <c r="Q36" i="1"/>
  <c r="Q18" i="1"/>
  <c r="Q45" i="1"/>
  <c r="Q43" i="1"/>
  <c r="Q8" i="1"/>
  <c r="Q17" i="1"/>
  <c r="Q15" i="1"/>
  <c r="Q19" i="1"/>
  <c r="Q11" i="1"/>
  <c r="Q22" i="1"/>
  <c r="Q10" i="1"/>
  <c r="Q31" i="1"/>
  <c r="Q35" i="1"/>
  <c r="Q30" i="1"/>
  <c r="Q12" i="1"/>
  <c r="Q9" i="1"/>
  <c r="Q44" i="1"/>
  <c r="Q26" i="1"/>
  <c r="Q39" i="1"/>
  <c r="Q16" i="1"/>
  <c r="Q42" i="1"/>
  <c r="Q28" i="1"/>
  <c r="Q40" i="1"/>
  <c r="Q24" i="1"/>
  <c r="Q23" i="1"/>
  <c r="Q14" i="1"/>
  <c r="Q21" i="1"/>
  <c r="Q27" i="1"/>
  <c r="Q20" i="1"/>
  <c r="Q34" i="1"/>
  <c r="Q25" i="1"/>
  <c r="Q33" i="1"/>
  <c r="Q4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<sst xmlns="http://schemas.openxmlformats.org/spreadsheetml/2006/main" count="186" uniqueCount="58">
  <si>
    <t xml:space="preserve">Trains </t>
  </si>
  <si>
    <t>No</t>
  </si>
  <si>
    <t>Company</t>
  </si>
  <si>
    <t>Hourly Passenger</t>
  </si>
  <si>
    <t>2way rate</t>
  </si>
  <si>
    <t>Adult rate</t>
  </si>
  <si>
    <t>Standard Seat</t>
  </si>
  <si>
    <t>Revenue</t>
  </si>
  <si>
    <t>Occupied</t>
  </si>
  <si>
    <t>AR</t>
  </si>
  <si>
    <t>High</t>
  </si>
  <si>
    <t>BF</t>
  </si>
  <si>
    <t>CH</t>
  </si>
  <si>
    <t>Low</t>
  </si>
  <si>
    <t>CW</t>
  </si>
  <si>
    <t>DF</t>
  </si>
  <si>
    <t>DK</t>
  </si>
  <si>
    <t>DN</t>
  </si>
  <si>
    <t>DP</t>
  </si>
  <si>
    <t>EKL</t>
  </si>
  <si>
    <t>FC</t>
  </si>
  <si>
    <t>GA</t>
  </si>
  <si>
    <t>GC</t>
  </si>
  <si>
    <t>JE</t>
  </si>
  <si>
    <t>JLR</t>
  </si>
  <si>
    <t>KME</t>
  </si>
  <si>
    <t>LGI</t>
  </si>
  <si>
    <t>LO</t>
  </si>
  <si>
    <t>ME</t>
  </si>
  <si>
    <t>MET</t>
  </si>
  <si>
    <t>PKT</t>
  </si>
  <si>
    <t>RLL</t>
  </si>
  <si>
    <t>RW</t>
  </si>
  <si>
    <t>SBJ</t>
  </si>
  <si>
    <t>SJ</t>
  </si>
  <si>
    <t>SN</t>
  </si>
  <si>
    <t>SR</t>
  </si>
  <si>
    <t>VR</t>
  </si>
  <si>
    <t>WGI</t>
  </si>
  <si>
    <t>WK</t>
  </si>
  <si>
    <t>WM</t>
  </si>
  <si>
    <t>WO</t>
  </si>
  <si>
    <t>XBU</t>
  </si>
  <si>
    <t>XC</t>
  </si>
  <si>
    <t>XL</t>
  </si>
  <si>
    <t>XM</t>
  </si>
  <si>
    <t>XME</t>
  </si>
  <si>
    <t>ZJ</t>
  </si>
  <si>
    <t>ZVJ</t>
  </si>
  <si>
    <t>New Record to Classify</t>
  </si>
  <si>
    <t xml:space="preserve">Normalized Data </t>
  </si>
  <si>
    <t>Mean</t>
  </si>
  <si>
    <t>Std Dev(S)</t>
  </si>
  <si>
    <t xml:space="preserve">New Record Distance </t>
  </si>
  <si>
    <t xml:space="preserve">Record </t>
  </si>
  <si>
    <t>Decision</t>
  </si>
  <si>
    <t>Distance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</si>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</sst>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FAE3-8DA9-49C9-8C58-076B13972C4B}">
  <dimension ref="A1:S56"/>
  <sheetViews>
    <sheetView tabSelected="1" topLeftCell="F34" zoomScale="92" workbookViewId="0">
      <selection activeCell="U45" sqref="U45"/>
    </sheetView>
  </sheetViews>
  <sheetFormatPr defaultRowHeight="14.4" x14ac:dyDescent="0.3"/>
  <cols>
    <col min="2" max="2" width="11" bestFit="1" customWidth="1"/>
    <col min="3" max="3" width="19.88671875" bestFit="1" customWidth="1"/>
    <col min="4" max="4" width="11.109375" bestFit="1" customWidth="1"/>
    <col min="5" max="5" width="11.33203125" bestFit="1" customWidth="1"/>
    <col min="6" max="6" width="16" bestFit="1" customWidth="1"/>
    <col min="7" max="7" width="10.109375" bestFit="1" customWidth="1"/>
    <col min="8" max="8" width="11" bestFit="1" customWidth="1"/>
    <col min="10" max="10" width="25.5546875" bestFit="1" customWidth="1"/>
    <col min="11" max="11" width="20.33203125" bestFit="1" customWidth="1"/>
    <col min="12" max="12" width="11.44140625" bestFit="1" customWidth="1"/>
    <col min="13" max="13" width="15.77734375" bestFit="1" customWidth="1"/>
    <col min="14" max="14" width="16.33203125" bestFit="1" customWidth="1"/>
    <col min="15" max="15" width="16.21875" bestFit="1" customWidth="1"/>
    <col min="16" max="16" width="11.88671875" bestFit="1" customWidth="1"/>
    <col min="17" max="17" width="26.33203125" bestFit="1" customWidth="1"/>
  </cols>
  <sheetData>
    <row r="1" spans="1:17" ht="15.6" x14ac:dyDescent="0.3">
      <c r="A1" s="1" t="s">
        <v>0</v>
      </c>
      <c r="B1" s="2"/>
      <c r="C1" s="2"/>
      <c r="D1" s="2"/>
      <c r="E1" s="2"/>
      <c r="F1" s="2"/>
      <c r="G1" s="2"/>
      <c r="H1" s="2"/>
      <c r="J1" s="4" t="s">
        <v>49</v>
      </c>
      <c r="K1" s="2"/>
      <c r="L1" s="2"/>
      <c r="M1" s="2"/>
      <c r="N1" s="2"/>
    </row>
    <row r="2" spans="1:17" ht="15.6" x14ac:dyDescent="0.3">
      <c r="A2" s="2"/>
      <c r="B2" s="2"/>
      <c r="C2" s="2"/>
      <c r="D2" s="2"/>
      <c r="E2" s="2"/>
      <c r="F2" s="2"/>
      <c r="G2" s="2"/>
      <c r="H2" s="2"/>
      <c r="J2" s="2"/>
      <c r="K2" s="2"/>
      <c r="L2" s="2"/>
      <c r="M2" s="2"/>
      <c r="N2" s="2"/>
    </row>
    <row r="3" spans="1:17" ht="15.6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J3" s="1" t="s">
        <v>3</v>
      </c>
      <c r="K3" s="1" t="s">
        <v>4</v>
      </c>
      <c r="L3" s="1" t="s">
        <v>5</v>
      </c>
      <c r="M3" s="1" t="s">
        <v>6</v>
      </c>
      <c r="N3" s="1" t="s">
        <v>7</v>
      </c>
    </row>
    <row r="4" spans="1:17" ht="15.6" x14ac:dyDescent="0.3">
      <c r="A4" s="2">
        <v>1</v>
      </c>
      <c r="B4" s="2" t="s">
        <v>9</v>
      </c>
      <c r="C4" s="2">
        <v>3174</v>
      </c>
      <c r="D4" s="2">
        <v>61</v>
      </c>
      <c r="E4" s="2">
        <v>59</v>
      </c>
      <c r="F4" s="2">
        <v>2383</v>
      </c>
      <c r="G4" s="2">
        <v>1592</v>
      </c>
      <c r="H4" s="2" t="s">
        <v>10</v>
      </c>
      <c r="J4" s="2">
        <v>3100</v>
      </c>
      <c r="K4" s="2">
        <v>55</v>
      </c>
      <c r="L4" s="2">
        <v>60</v>
      </c>
      <c r="M4" s="2">
        <v>1580</v>
      </c>
      <c r="N4" s="2">
        <v>2000</v>
      </c>
    </row>
    <row r="5" spans="1:17" ht="15.6" x14ac:dyDescent="0.3">
      <c r="A5" s="2">
        <v>2</v>
      </c>
      <c r="B5" s="2" t="s">
        <v>11</v>
      </c>
      <c r="C5" s="2">
        <v>2363</v>
      </c>
      <c r="D5" s="2">
        <v>23</v>
      </c>
      <c r="E5" s="2">
        <v>23</v>
      </c>
      <c r="F5" s="2">
        <v>1192</v>
      </c>
      <c r="G5" s="2">
        <v>1820</v>
      </c>
      <c r="H5" s="2" t="s">
        <v>10</v>
      </c>
    </row>
    <row r="6" spans="1:17" ht="15.6" x14ac:dyDescent="0.3">
      <c r="A6" s="2">
        <v>3</v>
      </c>
      <c r="B6" s="2" t="s">
        <v>12</v>
      </c>
      <c r="C6" s="2">
        <v>3658</v>
      </c>
      <c r="D6" s="2">
        <v>36</v>
      </c>
      <c r="E6" s="2">
        <v>40</v>
      </c>
      <c r="F6" s="2">
        <v>1622</v>
      </c>
      <c r="G6" s="2">
        <v>1895</v>
      </c>
      <c r="H6" s="2" t="s">
        <v>13</v>
      </c>
      <c r="J6" s="5" t="s">
        <v>50</v>
      </c>
    </row>
    <row r="7" spans="1:17" ht="15.6" x14ac:dyDescent="0.3">
      <c r="A7" s="2">
        <v>4</v>
      </c>
      <c r="B7" s="2" t="s">
        <v>14</v>
      </c>
      <c r="C7" s="2">
        <v>2575</v>
      </c>
      <c r="D7" s="2">
        <v>50</v>
      </c>
      <c r="E7" s="2">
        <v>45</v>
      </c>
      <c r="F7" s="2">
        <v>2093</v>
      </c>
      <c r="G7" s="2">
        <v>1706</v>
      </c>
      <c r="H7" s="2" t="s">
        <v>13</v>
      </c>
      <c r="J7" s="1" t="s">
        <v>2</v>
      </c>
      <c r="K7" s="1" t="s">
        <v>3</v>
      </c>
      <c r="L7" s="1" t="s">
        <v>4</v>
      </c>
      <c r="M7" s="1" t="s">
        <v>5</v>
      </c>
      <c r="N7" s="1" t="s">
        <v>6</v>
      </c>
      <c r="O7" s="1" t="s">
        <v>7</v>
      </c>
      <c r="P7" s="1" t="s">
        <v>8</v>
      </c>
      <c r="Q7" s="1" t="s">
        <v>53</v>
      </c>
    </row>
    <row r="8" spans="1:17" ht="15.6" x14ac:dyDescent="0.3">
      <c r="A8" s="2">
        <v>5</v>
      </c>
      <c r="B8" s="2" t="s">
        <v>15</v>
      </c>
      <c r="C8" s="2">
        <v>3742</v>
      </c>
      <c r="D8" s="2">
        <v>35</v>
      </c>
      <c r="E8" s="2">
        <v>27</v>
      </c>
      <c r="F8" s="2">
        <v>1916</v>
      </c>
      <c r="G8" s="2">
        <v>1714</v>
      </c>
      <c r="H8" s="2" t="s">
        <v>13</v>
      </c>
      <c r="J8" s="2" t="s">
        <v>9</v>
      </c>
      <c r="K8" s="2">
        <f>(C4-$C$44)/$C$45</f>
        <v>-0.23154708529362164</v>
      </c>
      <c r="L8" s="2">
        <f>(D4-$D$44)/$D$45</f>
        <v>0.54245950674334786</v>
      </c>
      <c r="M8" s="2">
        <f>(E4-$E$44)/$E$45</f>
        <v>0.48619630342688036</v>
      </c>
      <c r="N8" s="2">
        <f>(F4-$F$44)/$F$45</f>
        <v>1.5825415254706479</v>
      </c>
      <c r="O8" s="2">
        <f>(G4-$G$44)/$G$45</f>
        <v>-1.4779413181051519</v>
      </c>
      <c r="P8" s="2" t="s">
        <v>10</v>
      </c>
      <c r="Q8">
        <f>SQRT(SUMXMY2($K$47:$O$47,K8:O8))</f>
        <v>2.6451047736816564</v>
      </c>
    </row>
    <row r="9" spans="1:17" ht="15.6" x14ac:dyDescent="0.3">
      <c r="A9" s="2">
        <v>6</v>
      </c>
      <c r="B9" s="2" t="s">
        <v>16</v>
      </c>
      <c r="C9" s="2">
        <v>3044</v>
      </c>
      <c r="D9" s="2">
        <v>61</v>
      </c>
      <c r="E9" s="2">
        <v>53</v>
      </c>
      <c r="F9" s="2">
        <v>2481</v>
      </c>
      <c r="G9" s="2">
        <v>1984</v>
      </c>
      <c r="H9" s="2" t="s">
        <v>10</v>
      </c>
      <c r="J9" s="2" t="s">
        <v>11</v>
      </c>
      <c r="K9" s="2">
        <f t="shared" ref="K9:K47" si="0">(C5-$C$44)/$C$45</f>
        <v>-1.3658550658017881</v>
      </c>
      <c r="L9" s="2">
        <f t="shared" ref="L9:L47" si="1">(D5-$D$44)/$D$45</f>
        <v>-1.3443561688856887</v>
      </c>
      <c r="M9" s="2">
        <f t="shared" ref="M9:M47" si="2">(E5-$E$44)/$E$45</f>
        <v>-1.2597455343155333</v>
      </c>
      <c r="N9" s="2">
        <f t="shared" ref="N9:N47" si="3">(F5-$F$44)/$F$45</f>
        <v>-1.4022273994045125</v>
      </c>
      <c r="O9" s="2">
        <f t="shared" ref="O9:O47" si="4">(G5-$G$44)/$G$45</f>
        <v>-0.53536615578913893</v>
      </c>
      <c r="P9" s="2" t="s">
        <v>10</v>
      </c>
      <c r="Q9">
        <f t="shared" ref="Q9:Q46" si="5">SQRT(SUMXMY2($K$47:$O$47,K9:O9))</f>
        <v>2.88208543479164</v>
      </c>
    </row>
    <row r="10" spans="1:17" ht="15.6" x14ac:dyDescent="0.3">
      <c r="A10" s="2">
        <v>7</v>
      </c>
      <c r="B10" s="2" t="s">
        <v>17</v>
      </c>
      <c r="C10" s="2">
        <v>2664</v>
      </c>
      <c r="D10" s="2">
        <v>55</v>
      </c>
      <c r="E10" s="2">
        <v>53</v>
      </c>
      <c r="F10" s="2">
        <v>1840</v>
      </c>
      <c r="G10" s="2">
        <v>1866</v>
      </c>
      <c r="H10" s="2" t="s">
        <v>10</v>
      </c>
      <c r="J10" s="2" t="s">
        <v>12</v>
      </c>
      <c r="K10" s="2">
        <f t="shared" si="0"/>
        <v>0.44540120393689936</v>
      </c>
      <c r="L10" s="2">
        <f t="shared" si="1"/>
        <v>-0.69886659564417619</v>
      </c>
      <c r="M10" s="2">
        <f t="shared" si="2"/>
        <v>-0.4352729998260601</v>
      </c>
      <c r="N10" s="2">
        <f t="shared" si="3"/>
        <v>-0.32460301846721701</v>
      </c>
      <c r="O10" s="2">
        <f t="shared" si="4"/>
        <v>-0.22530853660623995</v>
      </c>
      <c r="P10" s="2" t="s">
        <v>13</v>
      </c>
      <c r="Q10">
        <f t="shared" si="5"/>
        <v>1.6246417070427801</v>
      </c>
    </row>
    <row r="11" spans="1:17" ht="15.6" x14ac:dyDescent="0.3">
      <c r="A11" s="2">
        <v>8</v>
      </c>
      <c r="B11" s="2" t="s">
        <v>18</v>
      </c>
      <c r="C11" s="2">
        <v>4056</v>
      </c>
      <c r="D11" s="2">
        <v>41</v>
      </c>
      <c r="E11" s="2">
        <v>40</v>
      </c>
      <c r="F11" s="2">
        <v>2072</v>
      </c>
      <c r="G11" s="2">
        <v>1806</v>
      </c>
      <c r="H11" s="2" t="s">
        <v>10</v>
      </c>
      <c r="J11" s="2" t="s">
        <v>14</v>
      </c>
      <c r="K11" s="2">
        <f t="shared" si="0"/>
        <v>-1.0693405258908986</v>
      </c>
      <c r="L11" s="2">
        <f t="shared" si="1"/>
        <v>-3.7239783071627134E-3</v>
      </c>
      <c r="M11" s="2">
        <f t="shared" si="2"/>
        <v>-0.19278107791739157</v>
      </c>
      <c r="N11" s="2">
        <f t="shared" si="3"/>
        <v>0.85577159414084392</v>
      </c>
      <c r="O11" s="2">
        <f t="shared" si="4"/>
        <v>-1.0066537369471455</v>
      </c>
      <c r="P11" s="2" t="s">
        <v>13</v>
      </c>
      <c r="Q11">
        <f t="shared" si="5"/>
        <v>2.064013060028024</v>
      </c>
    </row>
    <row r="12" spans="1:17" ht="15.6" x14ac:dyDescent="0.3">
      <c r="A12" s="2">
        <v>9</v>
      </c>
      <c r="B12" s="2" t="s">
        <v>19</v>
      </c>
      <c r="C12" s="2">
        <v>4549</v>
      </c>
      <c r="D12" s="2">
        <v>89</v>
      </c>
      <c r="E12" s="2">
        <v>79</v>
      </c>
      <c r="F12" s="2">
        <v>2007</v>
      </c>
      <c r="G12" s="2">
        <v>1807</v>
      </c>
      <c r="H12" s="2" t="s">
        <v>13</v>
      </c>
      <c r="J12" s="2" t="s">
        <v>15</v>
      </c>
      <c r="K12" s="2">
        <f t="shared" si="0"/>
        <v>0.56288809710913856</v>
      </c>
      <c r="L12" s="2">
        <f t="shared" si="1"/>
        <v>-0.74851963973967717</v>
      </c>
      <c r="M12" s="2">
        <f t="shared" si="2"/>
        <v>-1.0657519967885982</v>
      </c>
      <c r="N12" s="2">
        <f t="shared" si="3"/>
        <v>0.41219132570851535</v>
      </c>
      <c r="O12" s="2">
        <f t="shared" si="4"/>
        <v>-0.97358092423430287</v>
      </c>
      <c r="P12" s="2" t="s">
        <v>13</v>
      </c>
      <c r="Q12">
        <f t="shared" si="5"/>
        <v>2.5418292295456708</v>
      </c>
    </row>
    <row r="13" spans="1:17" ht="15.6" x14ac:dyDescent="0.3">
      <c r="A13" s="2">
        <v>10</v>
      </c>
      <c r="B13" s="2" t="s">
        <v>20</v>
      </c>
      <c r="C13" s="2">
        <v>2176</v>
      </c>
      <c r="D13" s="2">
        <v>22</v>
      </c>
      <c r="E13" s="2">
        <v>26</v>
      </c>
      <c r="F13" s="2">
        <v>1072</v>
      </c>
      <c r="G13" s="2">
        <v>2084</v>
      </c>
      <c r="H13" s="2" t="s">
        <v>13</v>
      </c>
      <c r="J13" s="2" t="s">
        <v>16</v>
      </c>
      <c r="K13" s="2">
        <f t="shared" si="0"/>
        <v>-0.4133720390125632</v>
      </c>
      <c r="L13" s="2">
        <f t="shared" si="1"/>
        <v>0.54245950674334786</v>
      </c>
      <c r="M13" s="2">
        <f t="shared" si="2"/>
        <v>0.1952059971364781</v>
      </c>
      <c r="N13" s="2">
        <f t="shared" si="3"/>
        <v>1.828139640195892</v>
      </c>
      <c r="O13" s="2">
        <f t="shared" si="4"/>
        <v>0.14262650482413355</v>
      </c>
      <c r="P13" s="2" t="s">
        <v>10</v>
      </c>
      <c r="Q13">
        <f t="shared" si="5"/>
        <v>2.3050113458131585</v>
      </c>
    </row>
    <row r="14" spans="1:17" ht="15.6" x14ac:dyDescent="0.3">
      <c r="A14" s="2">
        <v>11</v>
      </c>
      <c r="B14" s="2" t="s">
        <v>21</v>
      </c>
      <c r="C14" s="2">
        <v>3427</v>
      </c>
      <c r="D14" s="2">
        <v>32</v>
      </c>
      <c r="E14" s="2">
        <v>25</v>
      </c>
      <c r="F14" s="2">
        <v>1962</v>
      </c>
      <c r="G14" s="2">
        <v>1649</v>
      </c>
      <c r="H14" s="2" t="s">
        <v>10</v>
      </c>
      <c r="J14" s="2" t="s">
        <v>17</v>
      </c>
      <c r="K14" s="2">
        <f t="shared" si="0"/>
        <v>-0.94486036526793094</v>
      </c>
      <c r="L14" s="2">
        <f t="shared" si="1"/>
        <v>0.24454124217034209</v>
      </c>
      <c r="M14" s="2">
        <f t="shared" si="2"/>
        <v>0.1952059971364781</v>
      </c>
      <c r="N14" s="2">
        <f t="shared" si="3"/>
        <v>0.22172748163587705</v>
      </c>
      <c r="O14" s="2">
        <f t="shared" si="4"/>
        <v>-0.34519748269029421</v>
      </c>
      <c r="P14" s="2" t="s">
        <v>10</v>
      </c>
      <c r="Q14">
        <f t="shared" si="5"/>
        <v>1.1038895353060045</v>
      </c>
    </row>
    <row r="15" spans="1:17" ht="15.6" x14ac:dyDescent="0.3">
      <c r="A15" s="2">
        <v>12</v>
      </c>
      <c r="B15" s="2" t="s">
        <v>22</v>
      </c>
      <c r="C15" s="2">
        <v>2515</v>
      </c>
      <c r="D15" s="2">
        <v>25</v>
      </c>
      <c r="E15" s="2">
        <v>32</v>
      </c>
      <c r="F15" s="2">
        <v>982</v>
      </c>
      <c r="G15" s="2">
        <v>2210</v>
      </c>
      <c r="H15" s="2" t="s">
        <v>13</v>
      </c>
      <c r="J15" s="2" t="s">
        <v>18</v>
      </c>
      <c r="K15" s="2">
        <f t="shared" si="0"/>
        <v>1.0020652930148897</v>
      </c>
      <c r="L15" s="2">
        <f t="shared" si="1"/>
        <v>-0.45060137516667137</v>
      </c>
      <c r="M15" s="2">
        <f t="shared" si="2"/>
        <v>-0.4352729998260601</v>
      </c>
      <c r="N15" s="2">
        <f t="shared" si="3"/>
        <v>0.80314342669972028</v>
      </c>
      <c r="O15" s="2">
        <f t="shared" si="4"/>
        <v>-0.59324357803661343</v>
      </c>
      <c r="P15" s="2" t="s">
        <v>10</v>
      </c>
      <c r="Q15">
        <f t="shared" si="5"/>
        <v>2.3185029859293436</v>
      </c>
    </row>
    <row r="16" spans="1:17" ht="15.6" x14ac:dyDescent="0.3">
      <c r="A16" s="2">
        <v>13</v>
      </c>
      <c r="B16" s="2" t="s">
        <v>23</v>
      </c>
      <c r="C16" s="2">
        <v>3853</v>
      </c>
      <c r="D16" s="2">
        <v>37</v>
      </c>
      <c r="E16" s="2">
        <v>32</v>
      </c>
      <c r="F16" s="2">
        <v>1829</v>
      </c>
      <c r="G16" s="2">
        <v>2052</v>
      </c>
      <c r="H16" s="2" t="s">
        <v>13</v>
      </c>
      <c r="J16" s="2" t="s">
        <v>19</v>
      </c>
      <c r="K16" s="2">
        <f t="shared" si="0"/>
        <v>1.691601463656722</v>
      </c>
      <c r="L16" s="2">
        <f t="shared" si="1"/>
        <v>1.9327447414173748</v>
      </c>
      <c r="M16" s="2">
        <f t="shared" si="2"/>
        <v>1.4561639910615545</v>
      </c>
      <c r="N16" s="2">
        <f t="shared" si="3"/>
        <v>0.64024671795338484</v>
      </c>
      <c r="O16" s="2">
        <f t="shared" si="4"/>
        <v>-0.58910947644750811</v>
      </c>
      <c r="P16" s="2" t="s">
        <v>13</v>
      </c>
      <c r="Q16">
        <f t="shared" si="5"/>
        <v>3.0964793858498552</v>
      </c>
    </row>
    <row r="17" spans="1:17" ht="15.6" x14ac:dyDescent="0.3">
      <c r="A17" s="2">
        <v>14</v>
      </c>
      <c r="B17" s="2" t="s">
        <v>24</v>
      </c>
      <c r="C17" s="2">
        <v>3284</v>
      </c>
      <c r="D17" s="3">
        <v>63</v>
      </c>
      <c r="E17" s="2">
        <v>67</v>
      </c>
      <c r="F17" s="2">
        <v>2315</v>
      </c>
      <c r="G17" s="2">
        <v>2093</v>
      </c>
      <c r="H17" s="2" t="s">
        <v>10</v>
      </c>
      <c r="J17" s="2" t="s">
        <v>20</v>
      </c>
      <c r="K17" s="2">
        <f t="shared" si="0"/>
        <v>-1.6274032684590347</v>
      </c>
      <c r="L17" s="2">
        <f t="shared" si="1"/>
        <v>-1.3940092129811896</v>
      </c>
      <c r="M17" s="2">
        <f t="shared" si="2"/>
        <v>-1.1142503811703319</v>
      </c>
      <c r="N17" s="2">
        <f t="shared" si="3"/>
        <v>-1.7029597847823625</v>
      </c>
      <c r="O17" s="2">
        <f t="shared" si="4"/>
        <v>0.55603666373466554</v>
      </c>
      <c r="P17" s="2" t="s">
        <v>13</v>
      </c>
      <c r="Q17">
        <f t="shared" si="5"/>
        <v>2.9690787085318964</v>
      </c>
    </row>
    <row r="18" spans="1:17" ht="15.6" x14ac:dyDescent="0.3">
      <c r="A18" s="2">
        <v>15</v>
      </c>
      <c r="B18" s="2" t="s">
        <v>25</v>
      </c>
      <c r="C18" s="2">
        <v>4489</v>
      </c>
      <c r="D18" s="3">
        <v>84</v>
      </c>
      <c r="E18" s="2">
        <v>79</v>
      </c>
      <c r="F18" s="2">
        <v>2006</v>
      </c>
      <c r="G18" s="2">
        <v>2607</v>
      </c>
      <c r="H18" s="2" t="s">
        <v>13</v>
      </c>
      <c r="J18" s="2" t="s">
        <v>21</v>
      </c>
      <c r="K18" s="2">
        <f t="shared" si="0"/>
        <v>0.1223122477132416</v>
      </c>
      <c r="L18" s="2">
        <f t="shared" si="1"/>
        <v>-0.89747877202618009</v>
      </c>
      <c r="M18" s="2">
        <f t="shared" si="2"/>
        <v>-1.1627487655520659</v>
      </c>
      <c r="N18" s="2">
        <f t="shared" si="3"/>
        <v>0.52747207343669111</v>
      </c>
      <c r="O18" s="2">
        <f t="shared" si="4"/>
        <v>-1.2422975275261487</v>
      </c>
      <c r="P18" s="2" t="s">
        <v>10</v>
      </c>
      <c r="Q18">
        <f t="shared" si="5"/>
        <v>2.7233781393369738</v>
      </c>
    </row>
    <row r="19" spans="1:17" ht="15.6" x14ac:dyDescent="0.3">
      <c r="A19" s="2">
        <v>16</v>
      </c>
      <c r="B19" s="2" t="s">
        <v>26</v>
      </c>
      <c r="C19" s="2">
        <v>4345</v>
      </c>
      <c r="D19" s="3">
        <v>78</v>
      </c>
      <c r="E19" s="2">
        <v>67</v>
      </c>
      <c r="F19" s="2">
        <v>2141</v>
      </c>
      <c r="G19" s="2">
        <v>2481</v>
      </c>
      <c r="H19" s="2" t="s">
        <v>13</v>
      </c>
      <c r="J19" s="2" t="s">
        <v>22</v>
      </c>
      <c r="K19" s="2">
        <f t="shared" si="0"/>
        <v>-1.153259735299641</v>
      </c>
      <c r="L19" s="2">
        <f t="shared" si="1"/>
        <v>-1.2450500806946867</v>
      </c>
      <c r="M19" s="2">
        <f t="shared" si="2"/>
        <v>-0.8232600748799298</v>
      </c>
      <c r="N19" s="2">
        <f t="shared" si="3"/>
        <v>-1.92850907381575</v>
      </c>
      <c r="O19" s="2">
        <f t="shared" si="4"/>
        <v>1.0769334639619359</v>
      </c>
      <c r="P19" s="2" t="s">
        <v>13</v>
      </c>
      <c r="Q19">
        <f t="shared" si="5"/>
        <v>2.7806563770118005</v>
      </c>
    </row>
    <row r="20" spans="1:17" ht="15.6" x14ac:dyDescent="0.3">
      <c r="A20" s="2">
        <v>17</v>
      </c>
      <c r="B20" s="2" t="s">
        <v>27</v>
      </c>
      <c r="C20" s="2">
        <v>3889</v>
      </c>
      <c r="D20" s="2">
        <v>38</v>
      </c>
      <c r="E20" s="2">
        <v>37</v>
      </c>
      <c r="F20" s="2">
        <v>1186</v>
      </c>
      <c r="G20" s="2">
        <v>1726</v>
      </c>
      <c r="H20" s="2" t="s">
        <v>10</v>
      </c>
      <c r="J20" s="2" t="s">
        <v>23</v>
      </c>
      <c r="K20" s="2">
        <f t="shared" si="0"/>
        <v>0.71813863451531168</v>
      </c>
      <c r="L20" s="2">
        <f t="shared" si="1"/>
        <v>-0.64921355154867522</v>
      </c>
      <c r="M20" s="2">
        <f t="shared" si="2"/>
        <v>-0.8232600748799298</v>
      </c>
      <c r="N20" s="2">
        <f t="shared" si="3"/>
        <v>0.19416034630957413</v>
      </c>
      <c r="O20" s="2">
        <f t="shared" si="4"/>
        <v>0.42374541288329531</v>
      </c>
      <c r="P20" s="2" t="s">
        <v>13</v>
      </c>
      <c r="Q20">
        <f t="shared" si="5"/>
        <v>2.0463757674664551</v>
      </c>
    </row>
    <row r="21" spans="1:17" ht="15.6" x14ac:dyDescent="0.3">
      <c r="A21" s="2">
        <v>18</v>
      </c>
      <c r="B21" s="2" t="s">
        <v>28</v>
      </c>
      <c r="C21" s="2">
        <v>3403</v>
      </c>
      <c r="D21" s="2">
        <v>33</v>
      </c>
      <c r="E21" s="2">
        <v>31</v>
      </c>
      <c r="F21" s="2">
        <v>1861</v>
      </c>
      <c r="G21" s="2">
        <v>1995</v>
      </c>
      <c r="H21" s="2" t="s">
        <v>13</v>
      </c>
      <c r="J21" s="2" t="s">
        <v>24</v>
      </c>
      <c r="K21" s="2">
        <f t="shared" si="0"/>
        <v>-7.7695201377594142E-2</v>
      </c>
      <c r="L21" s="2">
        <f t="shared" si="1"/>
        <v>0.64176559493434981</v>
      </c>
      <c r="M21" s="2">
        <f t="shared" si="2"/>
        <v>0.87418337848075001</v>
      </c>
      <c r="N21" s="2">
        <f t="shared" si="3"/>
        <v>1.4121265070898663</v>
      </c>
      <c r="O21" s="2">
        <f t="shared" si="4"/>
        <v>0.59324357803661343</v>
      </c>
      <c r="P21" s="2" t="s">
        <v>10</v>
      </c>
      <c r="Q21">
        <f t="shared" si="5"/>
        <v>1.9697715954656621</v>
      </c>
    </row>
    <row r="22" spans="1:17" ht="15.6" x14ac:dyDescent="0.3">
      <c r="A22" s="2">
        <v>19</v>
      </c>
      <c r="B22" s="2" t="s">
        <v>29</v>
      </c>
      <c r="C22" s="2">
        <v>4140</v>
      </c>
      <c r="D22" s="2">
        <v>79</v>
      </c>
      <c r="E22" s="2">
        <v>75</v>
      </c>
      <c r="F22" s="2">
        <v>1706</v>
      </c>
      <c r="G22" s="2">
        <v>1780</v>
      </c>
      <c r="H22" s="2" t="s">
        <v>13</v>
      </c>
      <c r="J22" s="2" t="s">
        <v>25</v>
      </c>
      <c r="K22" s="2">
        <f t="shared" si="0"/>
        <v>1.6076822542479798</v>
      </c>
      <c r="L22" s="2">
        <f t="shared" si="1"/>
        <v>1.68447952093987</v>
      </c>
      <c r="M22" s="2">
        <f t="shared" si="2"/>
        <v>1.4561639910615545</v>
      </c>
      <c r="N22" s="2">
        <f t="shared" si="3"/>
        <v>0.6377406147419028</v>
      </c>
      <c r="O22" s="2">
        <f t="shared" si="4"/>
        <v>2.7181717948367479</v>
      </c>
      <c r="P22" s="2" t="s">
        <v>13</v>
      </c>
      <c r="Q22">
        <f t="shared" si="5"/>
        <v>3.7594657826296394</v>
      </c>
    </row>
    <row r="23" spans="1:17" ht="15.6" x14ac:dyDescent="0.3">
      <c r="A23" s="2">
        <v>20</v>
      </c>
      <c r="B23" s="2" t="s">
        <v>30</v>
      </c>
      <c r="C23" s="2">
        <v>2566</v>
      </c>
      <c r="D23" s="3">
        <v>52</v>
      </c>
      <c r="E23" s="2">
        <v>56</v>
      </c>
      <c r="F23" s="2">
        <v>1800</v>
      </c>
      <c r="G23" s="2">
        <v>1992</v>
      </c>
      <c r="H23" s="2" t="s">
        <v>10</v>
      </c>
      <c r="J23" s="2" t="s">
        <v>26</v>
      </c>
      <c r="K23" s="2">
        <f t="shared" si="0"/>
        <v>1.4062761516669984</v>
      </c>
      <c r="L23" s="2">
        <f t="shared" si="1"/>
        <v>1.3865612563668643</v>
      </c>
      <c r="M23" s="2">
        <f t="shared" si="2"/>
        <v>0.87418337848075001</v>
      </c>
      <c r="N23" s="2">
        <f t="shared" si="3"/>
        <v>0.97606454829198397</v>
      </c>
      <c r="O23" s="2">
        <f t="shared" si="4"/>
        <v>2.1972749946094776</v>
      </c>
      <c r="P23" s="2" t="s">
        <v>13</v>
      </c>
      <c r="Q23">
        <f t="shared" si="5"/>
        <v>3.2221787358870402</v>
      </c>
    </row>
    <row r="24" spans="1:17" ht="15.6" x14ac:dyDescent="0.3">
      <c r="A24" s="2">
        <v>21</v>
      </c>
      <c r="B24" s="2" t="s">
        <v>31</v>
      </c>
      <c r="C24" s="2">
        <v>3796</v>
      </c>
      <c r="D24" s="3">
        <v>75</v>
      </c>
      <c r="E24" s="2">
        <v>81</v>
      </c>
      <c r="F24" s="2">
        <v>1461</v>
      </c>
      <c r="G24" s="2">
        <v>2333</v>
      </c>
      <c r="H24" s="2" t="s">
        <v>10</v>
      </c>
      <c r="J24" s="2" t="s">
        <v>27</v>
      </c>
      <c r="K24" s="2">
        <f t="shared" si="0"/>
        <v>0.76849016016055705</v>
      </c>
      <c r="L24" s="2">
        <f t="shared" si="1"/>
        <v>-0.59956050745317424</v>
      </c>
      <c r="M24" s="2">
        <f t="shared" si="2"/>
        <v>-0.58076815297126128</v>
      </c>
      <c r="N24" s="2">
        <f t="shared" si="3"/>
        <v>-1.4172640186734051</v>
      </c>
      <c r="O24" s="2">
        <f t="shared" si="4"/>
        <v>-0.92397170516503901</v>
      </c>
      <c r="P24" s="2" t="s">
        <v>10</v>
      </c>
      <c r="Q24">
        <f t="shared" si="5"/>
        <v>2.3308017773905756</v>
      </c>
    </row>
    <row r="25" spans="1:17" ht="15.6" x14ac:dyDescent="0.3">
      <c r="A25" s="2">
        <v>22</v>
      </c>
      <c r="B25" s="2" t="s">
        <v>32</v>
      </c>
      <c r="C25" s="2">
        <v>4142</v>
      </c>
      <c r="D25" s="2">
        <v>42</v>
      </c>
      <c r="E25" s="2">
        <v>40</v>
      </c>
      <c r="F25" s="2">
        <v>2595</v>
      </c>
      <c r="G25" s="2">
        <v>1791</v>
      </c>
      <c r="H25" s="2" t="s">
        <v>10</v>
      </c>
      <c r="J25" s="2" t="s">
        <v>28</v>
      </c>
      <c r="K25" s="2">
        <f t="shared" si="0"/>
        <v>8.8744563949744698E-2</v>
      </c>
      <c r="L25" s="2">
        <f t="shared" si="1"/>
        <v>-0.84782572793067912</v>
      </c>
      <c r="M25" s="2">
        <f t="shared" si="2"/>
        <v>-0.87175845926166351</v>
      </c>
      <c r="N25" s="2">
        <f t="shared" si="3"/>
        <v>0.27435564907700077</v>
      </c>
      <c r="O25" s="2">
        <f t="shared" si="4"/>
        <v>0.18810162230429206</v>
      </c>
      <c r="P25" s="2" t="s">
        <v>13</v>
      </c>
      <c r="Q25">
        <f t="shared" si="5"/>
        <v>1.9614590889043999</v>
      </c>
    </row>
    <row r="26" spans="1:17" ht="15.6" x14ac:dyDescent="0.3">
      <c r="A26" s="2">
        <v>23</v>
      </c>
      <c r="B26" s="2" t="s">
        <v>33</v>
      </c>
      <c r="C26" s="2">
        <v>2814</v>
      </c>
      <c r="D26" s="3">
        <v>57</v>
      </c>
      <c r="E26" s="2">
        <v>76</v>
      </c>
      <c r="F26" s="2">
        <v>1822</v>
      </c>
      <c r="G26" s="2">
        <v>2163</v>
      </c>
      <c r="H26" s="2" t="s">
        <v>10</v>
      </c>
      <c r="J26" s="2" t="s">
        <v>29</v>
      </c>
      <c r="K26" s="2">
        <f t="shared" si="0"/>
        <v>1.1195521861871289</v>
      </c>
      <c r="L26" s="2">
        <f t="shared" si="1"/>
        <v>1.4362143004623653</v>
      </c>
      <c r="M26" s="2">
        <f t="shared" si="2"/>
        <v>1.2621704535346197</v>
      </c>
      <c r="N26" s="2">
        <f t="shared" si="3"/>
        <v>-0.11409034870272204</v>
      </c>
      <c r="O26" s="2">
        <f t="shared" si="4"/>
        <v>-0.70073021935335178</v>
      </c>
      <c r="P26" s="2" t="s">
        <v>13</v>
      </c>
      <c r="Q26">
        <f t="shared" si="5"/>
        <v>2.234294147752323</v>
      </c>
    </row>
    <row r="27" spans="1:17" ht="15.6" x14ac:dyDescent="0.3">
      <c r="A27" s="2">
        <v>24</v>
      </c>
      <c r="B27" s="2" t="s">
        <v>34</v>
      </c>
      <c r="C27" s="2">
        <v>2981</v>
      </c>
      <c r="D27" s="2">
        <v>30</v>
      </c>
      <c r="E27" s="2">
        <v>24</v>
      </c>
      <c r="F27" s="2">
        <v>1442</v>
      </c>
      <c r="G27" s="2">
        <v>2085</v>
      </c>
      <c r="H27" s="2" t="s">
        <v>10</v>
      </c>
      <c r="J27" s="2" t="s">
        <v>30</v>
      </c>
      <c r="K27" s="2">
        <f t="shared" si="0"/>
        <v>-1.08192840730221</v>
      </c>
      <c r="L27" s="2">
        <f t="shared" si="1"/>
        <v>9.5582109883839209E-2</v>
      </c>
      <c r="M27" s="2">
        <f t="shared" si="2"/>
        <v>0.34070115028167924</v>
      </c>
      <c r="N27" s="2">
        <f t="shared" si="3"/>
        <v>0.12148335317659373</v>
      </c>
      <c r="O27" s="2">
        <f t="shared" si="4"/>
        <v>0.1756993175369761</v>
      </c>
      <c r="P27" s="2" t="s">
        <v>10</v>
      </c>
      <c r="Q27">
        <f t="shared" si="5"/>
        <v>0.96058632129959787</v>
      </c>
    </row>
    <row r="28" spans="1:17" ht="15.6" x14ac:dyDescent="0.3">
      <c r="A28" s="2">
        <v>25</v>
      </c>
      <c r="B28" s="2" t="s">
        <v>34</v>
      </c>
      <c r="C28" s="2">
        <v>3318</v>
      </c>
      <c r="D28" s="3">
        <v>67</v>
      </c>
      <c r="E28" s="2">
        <v>80</v>
      </c>
      <c r="F28" s="2">
        <v>1593</v>
      </c>
      <c r="G28" s="2">
        <v>1876</v>
      </c>
      <c r="H28" s="2" t="s">
        <v>13</v>
      </c>
      <c r="J28" s="2" t="s">
        <v>31</v>
      </c>
      <c r="K28" s="2">
        <f t="shared" si="0"/>
        <v>0.63841538557700661</v>
      </c>
      <c r="L28" s="2">
        <f t="shared" si="1"/>
        <v>1.2376021240803614</v>
      </c>
      <c r="M28" s="2">
        <f t="shared" si="2"/>
        <v>1.5531607598250219</v>
      </c>
      <c r="N28" s="2">
        <f t="shared" si="3"/>
        <v>-0.72808563551583227</v>
      </c>
      <c r="O28" s="2">
        <f t="shared" si="4"/>
        <v>1.5854279594218903</v>
      </c>
      <c r="P28" s="2" t="s">
        <v>10</v>
      </c>
      <c r="Q28">
        <f t="shared" si="5"/>
        <v>2.2260263075976106</v>
      </c>
    </row>
    <row r="29" spans="1:17" ht="15.6" x14ac:dyDescent="0.3">
      <c r="A29" s="2">
        <v>26</v>
      </c>
      <c r="B29" s="2" t="s">
        <v>35</v>
      </c>
      <c r="C29" s="2">
        <v>2817</v>
      </c>
      <c r="D29" s="2">
        <v>27</v>
      </c>
      <c r="E29" s="2">
        <v>30</v>
      </c>
      <c r="F29" s="2">
        <v>1821</v>
      </c>
      <c r="G29" s="2">
        <v>1725</v>
      </c>
      <c r="H29" s="2" t="s">
        <v>13</v>
      </c>
      <c r="J29" s="2" t="s">
        <v>32</v>
      </c>
      <c r="K29" s="2">
        <f t="shared" si="0"/>
        <v>1.1223494931674203</v>
      </c>
      <c r="L29" s="2">
        <f t="shared" si="1"/>
        <v>-0.40094833107117045</v>
      </c>
      <c r="M29" s="2">
        <f t="shared" si="2"/>
        <v>-0.4352729998260601</v>
      </c>
      <c r="N29" s="2">
        <f t="shared" si="3"/>
        <v>2.1138354063048497</v>
      </c>
      <c r="O29" s="2">
        <f t="shared" si="4"/>
        <v>-0.65525510187319325</v>
      </c>
      <c r="P29" s="2" t="s">
        <v>10</v>
      </c>
      <c r="Q29">
        <f t="shared" si="5"/>
        <v>3.2708448485914374</v>
      </c>
    </row>
    <row r="30" spans="1:17" ht="15.6" x14ac:dyDescent="0.3">
      <c r="A30" s="2">
        <v>27</v>
      </c>
      <c r="B30" s="2" t="s">
        <v>36</v>
      </c>
      <c r="C30" s="2">
        <v>2696</v>
      </c>
      <c r="D30" s="2">
        <v>26</v>
      </c>
      <c r="E30" s="2">
        <v>27</v>
      </c>
      <c r="F30" s="2">
        <v>1045</v>
      </c>
      <c r="G30" s="2">
        <v>1718</v>
      </c>
      <c r="H30" s="2" t="s">
        <v>10</v>
      </c>
      <c r="J30" s="2" t="s">
        <v>33</v>
      </c>
      <c r="K30" s="2">
        <f t="shared" si="0"/>
        <v>-0.73506234174607521</v>
      </c>
      <c r="L30" s="2">
        <f t="shared" si="1"/>
        <v>0.34384733036134402</v>
      </c>
      <c r="M30" s="2">
        <f t="shared" si="2"/>
        <v>1.3106688379163534</v>
      </c>
      <c r="N30" s="2">
        <f t="shared" si="3"/>
        <v>0.17661762382919954</v>
      </c>
      <c r="O30" s="2">
        <f t="shared" si="4"/>
        <v>0.8826306892739858</v>
      </c>
      <c r="P30" s="2" t="s">
        <v>10</v>
      </c>
      <c r="Q30">
        <f t="shared" si="5"/>
        <v>1.2625011607806216</v>
      </c>
    </row>
    <row r="31" spans="1:17" ht="15.6" x14ac:dyDescent="0.3">
      <c r="A31" s="2">
        <v>28</v>
      </c>
      <c r="B31" s="2" t="s">
        <v>37</v>
      </c>
      <c r="C31" s="2">
        <v>1981</v>
      </c>
      <c r="D31" s="2">
        <v>23</v>
      </c>
      <c r="E31" s="2">
        <v>22</v>
      </c>
      <c r="F31" s="2">
        <v>1198</v>
      </c>
      <c r="G31" s="2">
        <v>1982</v>
      </c>
      <c r="H31" s="2" t="s">
        <v>10</v>
      </c>
      <c r="J31" s="2" t="s">
        <v>34</v>
      </c>
      <c r="K31" s="2">
        <f t="shared" si="0"/>
        <v>-0.50148720889174259</v>
      </c>
      <c r="L31" s="2">
        <f t="shared" si="1"/>
        <v>-0.99678486021718204</v>
      </c>
      <c r="M31" s="2">
        <f t="shared" si="2"/>
        <v>-1.2112471499337996</v>
      </c>
      <c r="N31" s="2">
        <f t="shared" si="3"/>
        <v>-0.77570159653399184</v>
      </c>
      <c r="O31" s="2">
        <f t="shared" si="4"/>
        <v>0.56017076532377086</v>
      </c>
      <c r="P31" s="2" t="s">
        <v>10</v>
      </c>
      <c r="Q31">
        <f t="shared" si="5"/>
        <v>2.2045392821705221</v>
      </c>
    </row>
    <row r="32" spans="1:17" ht="15.6" x14ac:dyDescent="0.3">
      <c r="A32" s="2">
        <v>29</v>
      </c>
      <c r="B32" s="2" t="s">
        <v>38</v>
      </c>
      <c r="C32" s="2">
        <v>4552</v>
      </c>
      <c r="D32" s="2">
        <v>90</v>
      </c>
      <c r="E32" s="2">
        <v>87</v>
      </c>
      <c r="F32" s="2">
        <v>2372</v>
      </c>
      <c r="G32" s="2">
        <v>1716</v>
      </c>
      <c r="H32" s="2" t="s">
        <v>13</v>
      </c>
      <c r="J32" s="2" t="s">
        <v>34</v>
      </c>
      <c r="K32" s="2">
        <f t="shared" si="0"/>
        <v>-3.0140982712640187E-2</v>
      </c>
      <c r="L32" s="2">
        <f t="shared" si="1"/>
        <v>0.84037777131635372</v>
      </c>
      <c r="M32" s="2">
        <f t="shared" si="2"/>
        <v>1.5046623754432882</v>
      </c>
      <c r="N32" s="2">
        <f t="shared" si="3"/>
        <v>-0.39728001160019738</v>
      </c>
      <c r="O32" s="2">
        <f t="shared" si="4"/>
        <v>-0.30385646679924105</v>
      </c>
      <c r="P32" s="2" t="s">
        <v>13</v>
      </c>
      <c r="Q32">
        <f t="shared" si="5"/>
        <v>1.2855644388402214</v>
      </c>
    </row>
    <row r="33" spans="1:17" ht="15.6" x14ac:dyDescent="0.3">
      <c r="A33" s="2">
        <v>30</v>
      </c>
      <c r="B33" s="2" t="s">
        <v>39</v>
      </c>
      <c r="C33" s="2">
        <v>4086</v>
      </c>
      <c r="D33" s="2">
        <v>75</v>
      </c>
      <c r="E33" s="2">
        <v>63</v>
      </c>
      <c r="F33" s="2">
        <v>1978</v>
      </c>
      <c r="G33" s="2">
        <v>1546</v>
      </c>
      <c r="H33" s="2" t="s">
        <v>13</v>
      </c>
      <c r="J33" s="2" t="s">
        <v>35</v>
      </c>
      <c r="K33" s="2">
        <f t="shared" si="0"/>
        <v>-0.73086638127563819</v>
      </c>
      <c r="L33" s="2">
        <f t="shared" si="1"/>
        <v>-1.145743992503685</v>
      </c>
      <c r="M33" s="2">
        <f t="shared" si="2"/>
        <v>-0.92025684364339722</v>
      </c>
      <c r="N33" s="2">
        <f t="shared" si="3"/>
        <v>0.17411152061771748</v>
      </c>
      <c r="O33" s="2">
        <f t="shared" si="4"/>
        <v>-0.92810580675414434</v>
      </c>
      <c r="P33" s="2" t="s">
        <v>13</v>
      </c>
      <c r="Q33">
        <f t="shared" si="5"/>
        <v>2.4215123134778991</v>
      </c>
    </row>
    <row r="34" spans="1:17" ht="15.6" x14ac:dyDescent="0.3">
      <c r="A34" s="2">
        <v>31</v>
      </c>
      <c r="B34" s="2" t="s">
        <v>40</v>
      </c>
      <c r="C34" s="2">
        <v>3787</v>
      </c>
      <c r="D34" s="2">
        <v>38</v>
      </c>
      <c r="E34" s="2">
        <v>33</v>
      </c>
      <c r="F34" s="2">
        <v>1884</v>
      </c>
      <c r="G34" s="2">
        <v>1799</v>
      </c>
      <c r="H34" s="2" t="s">
        <v>13</v>
      </c>
      <c r="J34" s="2" t="s">
        <v>36</v>
      </c>
      <c r="K34" s="2">
        <f t="shared" si="0"/>
        <v>-0.90010345358326838</v>
      </c>
      <c r="L34" s="2">
        <f t="shared" si="1"/>
        <v>-1.1953970365991859</v>
      </c>
      <c r="M34" s="2">
        <f t="shared" si="2"/>
        <v>-1.0657519967885982</v>
      </c>
      <c r="N34" s="2">
        <f t="shared" si="3"/>
        <v>-1.7706245714923787</v>
      </c>
      <c r="O34" s="2">
        <f t="shared" si="4"/>
        <v>-0.95704451787788158</v>
      </c>
      <c r="P34" s="2" t="s">
        <v>10</v>
      </c>
      <c r="Q34">
        <f t="shared" si="5"/>
        <v>2.8479676891769543</v>
      </c>
    </row>
    <row r="35" spans="1:17" ht="15.6" x14ac:dyDescent="0.3">
      <c r="A35" s="2">
        <v>32</v>
      </c>
      <c r="B35" s="2" t="s">
        <v>41</v>
      </c>
      <c r="C35" s="2">
        <v>2357</v>
      </c>
      <c r="D35" s="2">
        <v>49</v>
      </c>
      <c r="E35" s="2">
        <v>57</v>
      </c>
      <c r="F35" s="2">
        <v>1876</v>
      </c>
      <c r="G35" s="2">
        <v>2003</v>
      </c>
      <c r="H35" s="2" t="s">
        <v>10</v>
      </c>
      <c r="J35" s="2" t="s">
        <v>37</v>
      </c>
      <c r="K35" s="2">
        <f t="shared" si="0"/>
        <v>-1.900140699037447</v>
      </c>
      <c r="L35" s="2">
        <f t="shared" si="1"/>
        <v>-1.3443561688856887</v>
      </c>
      <c r="M35" s="2">
        <f t="shared" si="2"/>
        <v>-1.308243918697267</v>
      </c>
      <c r="N35" s="2">
        <f t="shared" si="3"/>
        <v>-1.38719078013562</v>
      </c>
      <c r="O35" s="2">
        <f t="shared" si="4"/>
        <v>0.13435830164592291</v>
      </c>
      <c r="P35" s="2" t="s">
        <v>10</v>
      </c>
      <c r="Q35">
        <f t="shared" si="5"/>
        <v>3.048369312786348</v>
      </c>
    </row>
    <row r="36" spans="1:17" ht="15.6" x14ac:dyDescent="0.3">
      <c r="A36" s="2">
        <v>33</v>
      </c>
      <c r="B36" s="2" t="s">
        <v>42</v>
      </c>
      <c r="C36" s="2">
        <v>2813</v>
      </c>
      <c r="D36" s="3">
        <v>54</v>
      </c>
      <c r="E36" s="2">
        <v>32</v>
      </c>
      <c r="F36" s="2">
        <v>1397</v>
      </c>
      <c r="G36" s="2">
        <v>1840</v>
      </c>
      <c r="H36" s="2" t="s">
        <v>13</v>
      </c>
      <c r="J36" s="2" t="s">
        <v>38</v>
      </c>
      <c r="K36" s="2">
        <f t="shared" si="0"/>
        <v>1.6957974241271592</v>
      </c>
      <c r="L36" s="2">
        <f t="shared" si="1"/>
        <v>1.9823977855128758</v>
      </c>
      <c r="M36" s="2">
        <f t="shared" si="2"/>
        <v>1.8441510661154241</v>
      </c>
      <c r="N36" s="2">
        <f t="shared" si="3"/>
        <v>1.5549743901443451</v>
      </c>
      <c r="O36" s="2">
        <f t="shared" si="4"/>
        <v>-0.96531272105609223</v>
      </c>
      <c r="P36" s="2" t="s">
        <v>13</v>
      </c>
      <c r="Q36">
        <f t="shared" si="5"/>
        <v>3.7652612759188018</v>
      </c>
    </row>
    <row r="37" spans="1:17" ht="15.6" x14ac:dyDescent="0.3">
      <c r="A37" s="2">
        <v>34</v>
      </c>
      <c r="B37" s="2" t="s">
        <v>43</v>
      </c>
      <c r="C37" s="2">
        <v>3173</v>
      </c>
      <c r="D37" s="2">
        <v>32</v>
      </c>
      <c r="E37" s="2">
        <v>36</v>
      </c>
      <c r="F37" s="2">
        <v>1818</v>
      </c>
      <c r="G37" s="2">
        <v>2340</v>
      </c>
      <c r="H37" s="2" t="s">
        <v>13</v>
      </c>
      <c r="J37" s="2" t="s">
        <v>39</v>
      </c>
      <c r="K37" s="2">
        <f t="shared" si="0"/>
        <v>1.0440248977192608</v>
      </c>
      <c r="L37" s="2">
        <f t="shared" si="1"/>
        <v>1.2376021240803614</v>
      </c>
      <c r="M37" s="2">
        <f t="shared" si="2"/>
        <v>0.68018984095381518</v>
      </c>
      <c r="N37" s="2">
        <f t="shared" si="3"/>
        <v>0.56756972482040446</v>
      </c>
      <c r="O37" s="2">
        <f t="shared" si="4"/>
        <v>-1.6681099912039967</v>
      </c>
      <c r="P37" s="2" t="s">
        <v>13</v>
      </c>
      <c r="Q37">
        <f t="shared" si="5"/>
        <v>2.7252028440235465</v>
      </c>
    </row>
    <row r="38" spans="1:17" ht="15.6" x14ac:dyDescent="0.3">
      <c r="A38" s="2">
        <v>35</v>
      </c>
      <c r="B38" s="2" t="s">
        <v>44</v>
      </c>
      <c r="C38" s="2">
        <v>2633</v>
      </c>
      <c r="D38" s="2">
        <v>54</v>
      </c>
      <c r="E38" s="2">
        <v>35</v>
      </c>
      <c r="F38" s="2">
        <v>1761</v>
      </c>
      <c r="G38" s="2">
        <v>2146</v>
      </c>
      <c r="H38" s="2" t="s">
        <v>10</v>
      </c>
      <c r="J38" s="2" t="s">
        <v>40</v>
      </c>
      <c r="K38" s="2">
        <f t="shared" si="0"/>
        <v>0.62582750416569521</v>
      </c>
      <c r="L38" s="2">
        <f t="shared" si="1"/>
        <v>-0.59956050745317424</v>
      </c>
      <c r="M38" s="2">
        <f t="shared" si="2"/>
        <v>-0.7747616904981961</v>
      </c>
      <c r="N38" s="2">
        <f t="shared" si="3"/>
        <v>0.33199602294108871</v>
      </c>
      <c r="O38" s="2">
        <f t="shared" si="4"/>
        <v>-0.62218228916035068</v>
      </c>
      <c r="P38" s="2" t="s">
        <v>13</v>
      </c>
      <c r="Q38">
        <f t="shared" si="5"/>
        <v>2.1497379601014868</v>
      </c>
    </row>
    <row r="39" spans="1:17" ht="15.6" x14ac:dyDescent="0.3">
      <c r="A39" s="2">
        <v>36</v>
      </c>
      <c r="B39" s="2" t="s">
        <v>45</v>
      </c>
      <c r="C39" s="2">
        <v>3552</v>
      </c>
      <c r="D39" s="2">
        <v>35</v>
      </c>
      <c r="E39" s="2">
        <v>40</v>
      </c>
      <c r="F39" s="2">
        <v>1522</v>
      </c>
      <c r="G39" s="2">
        <v>2350</v>
      </c>
      <c r="H39" s="2" t="s">
        <v>10</v>
      </c>
      <c r="J39" s="2" t="s">
        <v>41</v>
      </c>
      <c r="K39" s="2">
        <f t="shared" si="0"/>
        <v>-1.3742469867426621</v>
      </c>
      <c r="L39" s="2">
        <f t="shared" si="1"/>
        <v>-5.3377022402663676E-2</v>
      </c>
      <c r="M39" s="2">
        <f t="shared" si="2"/>
        <v>0.38919953466341295</v>
      </c>
      <c r="N39" s="2">
        <f t="shared" si="3"/>
        <v>0.31194719724923203</v>
      </c>
      <c r="O39" s="2">
        <f t="shared" si="4"/>
        <v>0.22117443501713463</v>
      </c>
      <c r="P39" s="2" t="s">
        <v>10</v>
      </c>
      <c r="Q39">
        <f t="shared" si="5"/>
        <v>1.3192007421812328</v>
      </c>
    </row>
    <row r="40" spans="1:17" ht="15.6" x14ac:dyDescent="0.3">
      <c r="A40" s="2">
        <v>37</v>
      </c>
      <c r="B40" s="2" t="s">
        <v>46</v>
      </c>
      <c r="C40" s="2">
        <v>2854</v>
      </c>
      <c r="D40" s="3">
        <v>58</v>
      </c>
      <c r="E40" s="2">
        <v>57</v>
      </c>
      <c r="F40" s="2">
        <v>1561</v>
      </c>
      <c r="G40" s="2">
        <v>1876</v>
      </c>
      <c r="H40" s="2" t="s">
        <v>10</v>
      </c>
      <c r="J40" s="2" t="s">
        <v>42</v>
      </c>
      <c r="K40" s="2">
        <f t="shared" si="0"/>
        <v>-0.73646099523622099</v>
      </c>
      <c r="L40" s="2">
        <f t="shared" si="1"/>
        <v>0.19488819807484115</v>
      </c>
      <c r="M40" s="2">
        <f t="shared" si="2"/>
        <v>-0.8232600748799298</v>
      </c>
      <c r="N40" s="2">
        <f t="shared" si="3"/>
        <v>-0.88847624105068557</v>
      </c>
      <c r="O40" s="2">
        <f t="shared" si="4"/>
        <v>-0.45268412400703256</v>
      </c>
      <c r="P40" s="2" t="s">
        <v>13</v>
      </c>
      <c r="Q40">
        <f t="shared" si="5"/>
        <v>1.629568417631641</v>
      </c>
    </row>
    <row r="41" spans="1:17" ht="15.6" x14ac:dyDescent="0.3">
      <c r="A41" s="2">
        <v>38</v>
      </c>
      <c r="B41" s="2" t="s">
        <v>47</v>
      </c>
      <c r="C41" s="2">
        <v>3894</v>
      </c>
      <c r="D41" s="2">
        <v>39</v>
      </c>
      <c r="E41" s="2">
        <v>41</v>
      </c>
      <c r="F41" s="2">
        <v>1479</v>
      </c>
      <c r="G41" s="2">
        <v>1953</v>
      </c>
      <c r="H41" s="2" t="s">
        <v>13</v>
      </c>
      <c r="J41" s="2" t="s">
        <v>43</v>
      </c>
      <c r="K41" s="2">
        <f t="shared" si="0"/>
        <v>-0.23294573878376734</v>
      </c>
      <c r="L41" s="2">
        <f t="shared" si="1"/>
        <v>-0.89747877202618009</v>
      </c>
      <c r="M41" s="2">
        <f t="shared" si="2"/>
        <v>-0.62926653735299498</v>
      </c>
      <c r="N41" s="2">
        <f t="shared" si="3"/>
        <v>0.16659321098327123</v>
      </c>
      <c r="O41" s="2">
        <f t="shared" si="4"/>
        <v>1.6143666705456274</v>
      </c>
      <c r="P41" s="2" t="s">
        <v>13</v>
      </c>
      <c r="Q41">
        <f t="shared" si="5"/>
        <v>2.236267398553387</v>
      </c>
    </row>
    <row r="42" spans="1:17" ht="15.6" x14ac:dyDescent="0.3">
      <c r="A42" s="2">
        <v>39</v>
      </c>
      <c r="B42" s="2" t="s">
        <v>48</v>
      </c>
      <c r="C42" s="2">
        <v>4324</v>
      </c>
      <c r="D42" s="2">
        <v>83</v>
      </c>
      <c r="E42" s="2">
        <v>92</v>
      </c>
      <c r="F42" s="2">
        <v>1390</v>
      </c>
      <c r="G42" s="2">
        <v>1879</v>
      </c>
      <c r="H42" s="2" t="s">
        <v>10</v>
      </c>
      <c r="J42" s="2" t="s">
        <v>44</v>
      </c>
      <c r="K42" s="2">
        <f t="shared" si="0"/>
        <v>-0.98821862346244771</v>
      </c>
      <c r="L42" s="2">
        <f t="shared" si="1"/>
        <v>0.19488819807484115</v>
      </c>
      <c r="M42" s="2">
        <f t="shared" si="2"/>
        <v>-0.67776492173472869</v>
      </c>
      <c r="N42" s="2">
        <f t="shared" si="3"/>
        <v>2.3745327928792505E-2</v>
      </c>
      <c r="O42" s="2">
        <f t="shared" si="4"/>
        <v>0.81235096225919545</v>
      </c>
      <c r="P42" s="2" t="s">
        <v>10</v>
      </c>
      <c r="Q42">
        <f t="shared" si="5"/>
        <v>1.5713754908164694</v>
      </c>
    </row>
    <row r="43" spans="1:17" ht="15.6" x14ac:dyDescent="0.3">
      <c r="C43" s="2">
        <v>3100</v>
      </c>
      <c r="D43" s="2">
        <v>55</v>
      </c>
      <c r="E43" s="2">
        <v>60</v>
      </c>
      <c r="F43" s="2">
        <v>1580</v>
      </c>
      <c r="G43" s="2">
        <v>2000</v>
      </c>
      <c r="J43" s="2" t="s">
        <v>45</v>
      </c>
      <c r="K43" s="2">
        <f t="shared" si="0"/>
        <v>0.29714393398145467</v>
      </c>
      <c r="L43" s="2">
        <f t="shared" si="1"/>
        <v>-0.74851963973967717</v>
      </c>
      <c r="M43" s="2">
        <f t="shared" si="2"/>
        <v>-0.4352729998260601</v>
      </c>
      <c r="N43" s="2">
        <f t="shared" si="3"/>
        <v>-0.57521333961542531</v>
      </c>
      <c r="O43" s="2">
        <f t="shared" si="4"/>
        <v>1.6557076864366806</v>
      </c>
      <c r="P43" s="2" t="s">
        <v>10</v>
      </c>
      <c r="Q43">
        <f t="shared" si="5"/>
        <v>2.1074684939898343</v>
      </c>
    </row>
    <row r="44" spans="1:17" ht="15.6" x14ac:dyDescent="0.3">
      <c r="B44" s="2" t="s">
        <v>51</v>
      </c>
      <c r="C44">
        <f>AVERAGE(C4:C43)</f>
        <v>3339.55</v>
      </c>
      <c r="D44">
        <f>AVERAGE(D4:D43)</f>
        <v>50.075000000000003</v>
      </c>
      <c r="E44">
        <f>AVERAGE(E4:E43)</f>
        <v>48.975000000000001</v>
      </c>
      <c r="F44">
        <f>AVERAGE(F4:F43)</f>
        <v>1751.5250000000001</v>
      </c>
      <c r="G44">
        <f>AVERAGE(G4:G43)</f>
        <v>1949.5</v>
      </c>
      <c r="J44" s="2" t="s">
        <v>46</v>
      </c>
      <c r="K44" s="2">
        <f t="shared" si="0"/>
        <v>-0.67911620214024704</v>
      </c>
      <c r="L44" s="2">
        <f t="shared" si="1"/>
        <v>0.39350037445684499</v>
      </c>
      <c r="M44" s="2">
        <f t="shared" si="2"/>
        <v>0.38919953466341295</v>
      </c>
      <c r="N44" s="2">
        <f t="shared" si="3"/>
        <v>-0.47747531436762403</v>
      </c>
      <c r="O44" s="2">
        <f t="shared" si="4"/>
        <v>-0.30385646679924105</v>
      </c>
      <c r="P44" s="2" t="s">
        <v>10</v>
      </c>
      <c r="Q44">
        <f t="shared" si="5"/>
        <v>0.65329651121400112</v>
      </c>
    </row>
    <row r="45" spans="1:17" ht="15.6" x14ac:dyDescent="0.3">
      <c r="B45" s="2" t="s">
        <v>52</v>
      </c>
      <c r="C45">
        <f>_xlfn.STDEV.S(C4:C43)</f>
        <v>714.97337049209034</v>
      </c>
      <c r="D45">
        <f>_xlfn.STDEV.S(D4:D43)</f>
        <v>20.139752118251486</v>
      </c>
      <c r="E45">
        <f>_xlfn.STDEV.S(E4:E43)</f>
        <v>20.619243563433777</v>
      </c>
      <c r="F45">
        <f>_xlfn.STDEV.S(F4:F43)</f>
        <v>399.02586430532949</v>
      </c>
      <c r="G45">
        <f>_xlfn.STDEV.S(G4:G43)</f>
        <v>241.89052408274625</v>
      </c>
      <c r="J45" s="2" t="s">
        <v>47</v>
      </c>
      <c r="K45" s="2">
        <f t="shared" si="0"/>
        <v>0.77548342761128564</v>
      </c>
      <c r="L45" s="2">
        <f t="shared" si="1"/>
        <v>-0.54990746335767327</v>
      </c>
      <c r="M45" s="2">
        <f t="shared" si="2"/>
        <v>-0.3867746154443264</v>
      </c>
      <c r="N45" s="2">
        <f t="shared" si="3"/>
        <v>-0.68297577770915485</v>
      </c>
      <c r="O45" s="2">
        <f t="shared" si="4"/>
        <v>1.4469355561868621E-2</v>
      </c>
      <c r="P45" s="2" t="s">
        <v>13</v>
      </c>
      <c r="Q45">
        <f t="shared" si="5"/>
        <v>1.6779018835792832</v>
      </c>
    </row>
    <row r="46" spans="1:17" ht="15.6" x14ac:dyDescent="0.3">
      <c r="J46" s="2" t="s">
        <v>48</v>
      </c>
      <c r="K46" s="2">
        <f>(C42-$C$44)/$C$45</f>
        <v>1.3769044283739384</v>
      </c>
      <c r="L46" s="2">
        <f t="shared" si="1"/>
        <v>1.634826476844369</v>
      </c>
      <c r="M46" s="2">
        <f t="shared" si="2"/>
        <v>2.0866429880240926</v>
      </c>
      <c r="N46" s="2">
        <f t="shared" si="3"/>
        <v>-0.90601896353106015</v>
      </c>
      <c r="O46" s="2">
        <f t="shared" si="4"/>
        <v>-0.29145416203192509</v>
      </c>
      <c r="P46" s="2" t="s">
        <v>10</v>
      </c>
      <c r="Q46">
        <f t="shared" si="5"/>
        <v>2.7837331211856053</v>
      </c>
    </row>
    <row r="47" spans="1:17" ht="15.6" x14ac:dyDescent="0.3">
      <c r="J47">
        <v>40</v>
      </c>
      <c r="K47" s="2">
        <f>(C43-$C$44)/$C$45</f>
        <v>-0.33504744356440375</v>
      </c>
      <c r="L47" s="2">
        <f t="shared" si="1"/>
        <v>0.24454124217034209</v>
      </c>
      <c r="M47" s="2">
        <f t="shared" si="2"/>
        <v>0.53469468780861407</v>
      </c>
      <c r="N47" s="2">
        <f t="shared" si="3"/>
        <v>-0.42985935334946446</v>
      </c>
      <c r="O47" s="2">
        <f t="shared" si="4"/>
        <v>0.20877213024981867</v>
      </c>
    </row>
    <row r="51" spans="16:19" x14ac:dyDescent="0.3">
      <c r="P51" t="s">
        <v>57</v>
      </c>
      <c r="Q51" t="s">
        <v>56</v>
      </c>
      <c r="R51" t="s">
        <v>54</v>
      </c>
      <c r="S51" t="s">
        <v>55</v>
      </c>
    </row>
    <row r="52" spans="16:19" x14ac:dyDescent="0.3">
      <c r="P52">
        <v>1</v>
      </c>
      <c r="Q52">
        <f>SMALL($Q$8:$Q$46,P52)</f>
        <v>0.65329651121400112</v>
      </c>
      <c r="R52">
        <f>MATCH(Q52,$Q$8:$Q$46,0)</f>
        <v>37</v>
      </c>
      <c r="S52" t="str" cm="1">
        <f t="array" ref="S52">INDEX($P$8:$P$46,R52)</f>
        <v>High</v>
      </c>
    </row>
    <row r="53" spans="16:19" x14ac:dyDescent="0.3">
      <c r="P53">
        <v>2</v>
      </c>
      <c r="Q53">
        <f>SMALL($Q$8:$Q$46,P53)</f>
        <v>0.96058632129959787</v>
      </c>
      <c r="R53">
        <f t="shared" ref="R53:R56" si="6">MATCH(Q53,$Q$8:$Q$46,0)</f>
        <v>20</v>
      </c>
      <c r="S53" t="str" cm="1">
        <f t="array" ref="S53">INDEX($P$8:$P$46,R53)</f>
        <v>High</v>
      </c>
    </row>
    <row r="54" spans="16:19" x14ac:dyDescent="0.3">
      <c r="P54">
        <v>3</v>
      </c>
      <c r="Q54">
        <f>SMALL($Q$8:$Q$46,P54)</f>
        <v>1.1038895353060045</v>
      </c>
      <c r="R54">
        <f t="shared" si="6"/>
        <v>7</v>
      </c>
      <c r="S54" t="str" cm="1">
        <f t="array" ref="S54">INDEX($P$8:$P$46,R54)</f>
        <v>High</v>
      </c>
    </row>
    <row r="55" spans="16:19" x14ac:dyDescent="0.3">
      <c r="P55">
        <v>4</v>
      </c>
      <c r="Q55">
        <f t="shared" ref="Q53:Q56" si="7">SMALL($Q$8:$Q$46,P55)</f>
        <v>1.2625011607806216</v>
      </c>
      <c r="R55">
        <f t="shared" si="6"/>
        <v>23</v>
      </c>
      <c r="S55" t="str" cm="1">
        <f t="array" ref="S55">INDEX($P$8:$P$46,R55)</f>
        <v>High</v>
      </c>
    </row>
    <row r="56" spans="16:19" x14ac:dyDescent="0.3">
      <c r="P56">
        <v>5</v>
      </c>
      <c r="Q56">
        <f t="shared" si="7"/>
        <v>1.2855644388402214</v>
      </c>
      <c r="R56">
        <f t="shared" si="6"/>
        <v>25</v>
      </c>
      <c r="S56" t="str" cm="1">
        <f t="array" ref="S56">INDEX($P$8:$P$46,R56)</f>
        <v>Low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 10.7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Jinal Parikh</dc:creator>
  <cp:lastModifiedBy>sneha mirani</cp:lastModifiedBy>
  <dcterms:created xsi:type="dcterms:W3CDTF">2025-02-04T02:31:16Z</dcterms:created>
  <dcterms:modified xsi:type="dcterms:W3CDTF">2026-01-27T12:53:18Z</dcterms:modified>
</cp:coreProperties>
</file>