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be9b4a124cc33975/Documents/"/>
    </mc:Choice>
  </mc:AlternateContent>
  <xr:revisionPtr revIDLastSave="6" documentId="8_{90C61EA1-91C4-4940-A479-0A3E4343E6DC}" xr6:coauthVersionLast="47" xr6:coauthVersionMax="47" xr10:uidLastSave="{1BCF8B35-69D7-4CC7-8AD2-07A22C0ED2E2}"/>
  <bookViews>
    <workbookView xWindow="-108" yWindow="-108" windowWidth="23256" windowHeight="12456" xr2:uid="{00000000-000D-0000-FFFF-FFFF00000000}"/>
  </bookViews>
  <sheets>
    <sheet name="Data" sheetId="1" r:id="rId1"/>
  </sheets>
  <definedNames>
    <definedName name="solver_adj" localSheetId="0" hidden="1">Data!$J$1:$J$4</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Data!$H$38</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F3" i="1" s="1"/>
  <c r="G3" i="1" s="1"/>
  <c r="H3" i="1" s="1"/>
  <c r="E4" i="1"/>
  <c r="F4" i="1" s="1"/>
  <c r="G4" i="1" s="1"/>
  <c r="H4" i="1" s="1"/>
  <c r="E5" i="1"/>
  <c r="F5" i="1" s="1"/>
  <c r="G5" i="1" s="1"/>
  <c r="H5" i="1" s="1"/>
  <c r="E6" i="1"/>
  <c r="F6" i="1" s="1"/>
  <c r="G6" i="1" s="1"/>
  <c r="H6" i="1" s="1"/>
  <c r="E7" i="1"/>
  <c r="F7" i="1" s="1"/>
  <c r="G7" i="1" s="1"/>
  <c r="H7" i="1" s="1"/>
  <c r="E8" i="1"/>
  <c r="F8" i="1" s="1"/>
  <c r="G8" i="1" s="1"/>
  <c r="H8" i="1" s="1"/>
  <c r="E9" i="1"/>
  <c r="F9" i="1" s="1"/>
  <c r="G9" i="1" s="1"/>
  <c r="H9" i="1" s="1"/>
  <c r="E10" i="1"/>
  <c r="F10" i="1" s="1"/>
  <c r="G10" i="1" s="1"/>
  <c r="H10" i="1" s="1"/>
  <c r="E11" i="1"/>
  <c r="F11" i="1" s="1"/>
  <c r="G11" i="1" s="1"/>
  <c r="H11" i="1" s="1"/>
  <c r="E12" i="1"/>
  <c r="F12" i="1" s="1"/>
  <c r="G12" i="1" s="1"/>
  <c r="H12" i="1" s="1"/>
  <c r="E13" i="1"/>
  <c r="F13" i="1" s="1"/>
  <c r="G13" i="1" s="1"/>
  <c r="H13" i="1" s="1"/>
  <c r="E14" i="1"/>
  <c r="F14" i="1" s="1"/>
  <c r="G14" i="1" s="1"/>
  <c r="H14" i="1" s="1"/>
  <c r="E15" i="1"/>
  <c r="F15" i="1" s="1"/>
  <c r="G15" i="1" s="1"/>
  <c r="H15" i="1" s="1"/>
  <c r="E16" i="1"/>
  <c r="F16" i="1" s="1"/>
  <c r="G16" i="1" s="1"/>
  <c r="H16" i="1" s="1"/>
  <c r="E17" i="1"/>
  <c r="F17" i="1" s="1"/>
  <c r="G17" i="1" s="1"/>
  <c r="H17" i="1" s="1"/>
  <c r="E18" i="1"/>
  <c r="F18" i="1" s="1"/>
  <c r="G18" i="1" s="1"/>
  <c r="H18" i="1" s="1"/>
  <c r="E19" i="1"/>
  <c r="F19" i="1" s="1"/>
  <c r="G19" i="1" s="1"/>
  <c r="H19" i="1" s="1"/>
  <c r="E20" i="1"/>
  <c r="F20" i="1" s="1"/>
  <c r="G20" i="1" s="1"/>
  <c r="H20" i="1" s="1"/>
  <c r="E21" i="1"/>
  <c r="F21" i="1" s="1"/>
  <c r="G21" i="1" s="1"/>
  <c r="H21" i="1" s="1"/>
  <c r="E22" i="1"/>
  <c r="F22" i="1" s="1"/>
  <c r="G22" i="1" s="1"/>
  <c r="H22" i="1" s="1"/>
  <c r="E23" i="1"/>
  <c r="F23" i="1" s="1"/>
  <c r="G23" i="1" s="1"/>
  <c r="H23" i="1" s="1"/>
  <c r="E24" i="1"/>
  <c r="F24" i="1" s="1"/>
  <c r="G24" i="1" s="1"/>
  <c r="H24" i="1" s="1"/>
  <c r="E25" i="1"/>
  <c r="F25" i="1" s="1"/>
  <c r="G25" i="1" s="1"/>
  <c r="H25" i="1" s="1"/>
  <c r="E26" i="1"/>
  <c r="F26" i="1" s="1"/>
  <c r="G26" i="1" s="1"/>
  <c r="H26" i="1" s="1"/>
  <c r="E27" i="1"/>
  <c r="F27" i="1" s="1"/>
  <c r="G27" i="1" s="1"/>
  <c r="H27" i="1" s="1"/>
  <c r="E28" i="1"/>
  <c r="F28" i="1" s="1"/>
  <c r="G28" i="1" s="1"/>
  <c r="H28" i="1" s="1"/>
  <c r="E29" i="1"/>
  <c r="F29" i="1" s="1"/>
  <c r="G29" i="1" s="1"/>
  <c r="H29" i="1" s="1"/>
  <c r="E30" i="1"/>
  <c r="F30" i="1" s="1"/>
  <c r="G30" i="1" s="1"/>
  <c r="H30" i="1" s="1"/>
  <c r="E31" i="1"/>
  <c r="F31" i="1" s="1"/>
  <c r="G31" i="1" s="1"/>
  <c r="H31" i="1" s="1"/>
  <c r="E32" i="1"/>
  <c r="F32" i="1" s="1"/>
  <c r="G32" i="1" s="1"/>
  <c r="H32" i="1" s="1"/>
  <c r="E33" i="1"/>
  <c r="F33" i="1" s="1"/>
  <c r="G33" i="1" s="1"/>
  <c r="H33" i="1" s="1"/>
  <c r="E34" i="1"/>
  <c r="F34" i="1" s="1"/>
  <c r="G34" i="1" s="1"/>
  <c r="H34" i="1" s="1"/>
  <c r="E35" i="1"/>
  <c r="F35" i="1" s="1"/>
  <c r="G35" i="1" s="1"/>
  <c r="H35" i="1" s="1"/>
  <c r="E36" i="1"/>
  <c r="F36" i="1" s="1"/>
  <c r="G36" i="1" s="1"/>
  <c r="H36" i="1" s="1"/>
  <c r="E37" i="1"/>
  <c r="F37" i="1" s="1"/>
  <c r="G37" i="1" s="1"/>
  <c r="H37" i="1" s="1"/>
  <c r="F2" i="1"/>
  <c r="G2" i="1" s="1"/>
  <c r="H2" i="1" s="1"/>
  <c r="H38" i="1" l="1"/>
</calcChain>
</file>

<file path=xl/sharedStrings.xml><?xml version="1.0" encoding="utf-8"?>
<sst xmlns="http://schemas.openxmlformats.org/spreadsheetml/2006/main" count="32" uniqueCount="30">
  <si>
    <t>Disease</t>
  </si>
  <si>
    <t>Age</t>
  </si>
  <si>
    <t>Gender</t>
  </si>
  <si>
    <t>Smoker status</t>
  </si>
  <si>
    <t xml:space="preserve">Logistic Regression - used for categorial output "y" independent variable </t>
  </si>
  <si>
    <t xml:space="preserve">logit is used for diacotomous </t>
  </si>
  <si>
    <t xml:space="preserve">Logit </t>
  </si>
  <si>
    <t>A</t>
  </si>
  <si>
    <t>B1</t>
  </si>
  <si>
    <t>B2</t>
  </si>
  <si>
    <t>B3</t>
  </si>
  <si>
    <t xml:space="preserve">Elofit </t>
  </si>
  <si>
    <t xml:space="preserve">Probability </t>
  </si>
  <si>
    <t xml:space="preserve">Log Likelihood </t>
  </si>
  <si>
    <t xml:space="preserve">0 = not diseased </t>
  </si>
  <si>
    <t>1 = diseased</t>
  </si>
  <si>
    <t>SUM</t>
  </si>
  <si>
    <t>SUMMARY OUTPUT</t>
  </si>
  <si>
    <t>Regression Statistics</t>
  </si>
  <si>
    <t>Chi Square</t>
  </si>
  <si>
    <t>Residual Dev.</t>
  </si>
  <si>
    <t># of iterations</t>
  </si>
  <si>
    <t>Observations</t>
  </si>
  <si>
    <t>Coefficients</t>
  </si>
  <si>
    <t>Standard Error</t>
  </si>
  <si>
    <t>P-value</t>
  </si>
  <si>
    <t>Odd Ratio</t>
  </si>
  <si>
    <t>Lower 95%</t>
  </si>
  <si>
    <t>Upper 95%</t>
  </si>
  <si>
    <t>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</si>
</sst>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19048B-D1E9-4F0F-90F9-F20BD8FA9C97}">
  <we:reference id="wa104379190" version="2.0.0.0" store="en-US" storeType="OMEX"/>
  <we:alternateReferences>
    <we:reference id="WA104379190" version="2.0.0.0" store="WA104379190" storeType="OMEX"/>
  </we:alternateReferences>
  <we:properties/>
  <we:bindings>
    <we:binding id="RangeSelect" type="matrix" appref="{AA40A2CF-1929-4EB8-BF3B-3FB7599C20F8}"/>
    <we:binding id="InputY" type="matrix" appref="{8D854DBE-F272-4657-B9B7-9532E20C3863}"/>
    <we:binding id="InputX" type="matrix" appref="{48F7830A-3D04-4392-BD4B-13A9C6F4F692}"/>
    <we:binding id="Output" type="matrix" appref="{49F151E5-1C2B-490C-A798-6B4277B64DED}"/>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topLeftCell="C41" zoomScale="147" zoomScaleNormal="160" workbookViewId="0">
      <selection activeCell="J11" sqref="J11"/>
    </sheetView>
  </sheetViews>
  <sheetFormatPr defaultRowHeight="15.6" x14ac:dyDescent="0.3"/>
  <cols>
    <col min="1" max="1" width="11.59765625" bestFit="1" customWidth="1"/>
    <col min="4" max="4" width="12.69921875" bestFit="1" customWidth="1"/>
    <col min="7" max="7" width="10.5" bestFit="1" customWidth="1"/>
    <col min="8" max="8" width="13.3984375" bestFit="1" customWidth="1"/>
  </cols>
  <sheetData>
    <row r="1" spans="1:13" x14ac:dyDescent="0.3">
      <c r="A1" t="s">
        <v>0</v>
      </c>
      <c r="B1" t="s">
        <v>1</v>
      </c>
      <c r="C1" t="s">
        <v>2</v>
      </c>
      <c r="D1" t="s">
        <v>3</v>
      </c>
      <c r="E1" t="s">
        <v>6</v>
      </c>
      <c r="F1" t="s">
        <v>11</v>
      </c>
      <c r="G1" t="s">
        <v>12</v>
      </c>
      <c r="H1" t="s">
        <v>13</v>
      </c>
      <c r="I1" t="s">
        <v>7</v>
      </c>
      <c r="J1">
        <v>-1.8594550898771944</v>
      </c>
      <c r="M1" t="s">
        <v>4</v>
      </c>
    </row>
    <row r="2" spans="1:13" x14ac:dyDescent="0.3">
      <c r="A2">
        <v>1</v>
      </c>
      <c r="B2">
        <v>43</v>
      </c>
      <c r="C2">
        <v>0</v>
      </c>
      <c r="D2">
        <v>1</v>
      </c>
      <c r="E2" s="1">
        <f>$J$1+B2*$J$2+$J$3*C2+$J$4*D2</f>
        <v>1.3377941517457441</v>
      </c>
      <c r="F2">
        <f>EXP(E2)</f>
        <v>3.8106285593761537</v>
      </c>
      <c r="G2">
        <f>IF(A2=1,F2/(1+F2),(1-(F2/(1+F2))))</f>
        <v>0.79212695645541986</v>
      </c>
      <c r="H2">
        <f>LN(G2)</f>
        <v>-0.23303360145932867</v>
      </c>
      <c r="I2" t="s">
        <v>8</v>
      </c>
      <c r="J2">
        <v>4.3264082283653846E-2</v>
      </c>
      <c r="M2" t="s">
        <v>5</v>
      </c>
    </row>
    <row r="3" spans="1:13" x14ac:dyDescent="0.3">
      <c r="A3">
        <v>0</v>
      </c>
      <c r="B3">
        <v>18</v>
      </c>
      <c r="C3">
        <v>0</v>
      </c>
      <c r="D3">
        <v>1</v>
      </c>
      <c r="E3" s="1">
        <f t="shared" ref="E3:E37" si="0">$J$1+B3*$J$2+$J$3*C3+$J$4*D3</f>
        <v>0.25619209465439807</v>
      </c>
      <c r="F3">
        <f t="shared" ref="F3:F37" si="1">EXP(E3)</f>
        <v>1.2920008905681395</v>
      </c>
      <c r="G3">
        <f t="shared" ref="G3:G37" si="2">IF(A3=1,F3/(1+F3),(1-(F3/(1+F3))))</f>
        <v>0.43630000499350619</v>
      </c>
      <c r="H3">
        <f t="shared" ref="H3:H37" si="3">LN(G3)</f>
        <v>-0.82942518740745241</v>
      </c>
      <c r="I3" t="s">
        <v>9</v>
      </c>
      <c r="J3">
        <v>-0.86957289890076139</v>
      </c>
      <c r="M3" t="s">
        <v>14</v>
      </c>
    </row>
    <row r="4" spans="1:13" x14ac:dyDescent="0.3">
      <c r="A4">
        <v>1</v>
      </c>
      <c r="B4">
        <v>22</v>
      </c>
      <c r="C4">
        <v>1</v>
      </c>
      <c r="D4">
        <v>0</v>
      </c>
      <c r="E4" s="1">
        <f t="shared" si="0"/>
        <v>-1.7772181785375714</v>
      </c>
      <c r="F4">
        <f t="shared" si="1"/>
        <v>0.1691079215972596</v>
      </c>
      <c r="G4">
        <f t="shared" si="2"/>
        <v>0.14464697268171858</v>
      </c>
      <c r="H4">
        <f t="shared" si="3"/>
        <v>-1.9334591763533604</v>
      </c>
      <c r="I4" t="s">
        <v>10</v>
      </c>
      <c r="J4">
        <v>1.3368937034258233</v>
      </c>
      <c r="M4" t="s">
        <v>15</v>
      </c>
    </row>
    <row r="5" spans="1:13" x14ac:dyDescent="0.3">
      <c r="A5">
        <v>1</v>
      </c>
      <c r="B5">
        <v>25</v>
      </c>
      <c r="C5">
        <v>0</v>
      </c>
      <c r="D5">
        <v>0</v>
      </c>
      <c r="E5" s="1">
        <f t="shared" si="0"/>
        <v>-0.77785303278584839</v>
      </c>
      <c r="F5">
        <f t="shared" si="1"/>
        <v>0.45939125124273517</v>
      </c>
      <c r="G5">
        <f t="shared" si="2"/>
        <v>0.31478279101066525</v>
      </c>
      <c r="H5">
        <f t="shared" si="3"/>
        <v>-1.1558724303541648</v>
      </c>
    </row>
    <row r="6" spans="1:13" x14ac:dyDescent="0.3">
      <c r="A6">
        <v>0</v>
      </c>
      <c r="B6">
        <v>45</v>
      </c>
      <c r="C6">
        <v>1</v>
      </c>
      <c r="D6">
        <v>1</v>
      </c>
      <c r="E6" s="1">
        <f t="shared" si="0"/>
        <v>0.55474941741229045</v>
      </c>
      <c r="F6">
        <f t="shared" si="1"/>
        <v>1.7415045393795654</v>
      </c>
      <c r="G6">
        <f t="shared" si="2"/>
        <v>0.36476321145406954</v>
      </c>
      <c r="H6">
        <f t="shared" si="3"/>
        <v>-1.0085068716620054</v>
      </c>
    </row>
    <row r="7" spans="1:13" x14ac:dyDescent="0.3">
      <c r="A7">
        <v>0</v>
      </c>
      <c r="B7">
        <v>12</v>
      </c>
      <c r="C7">
        <v>0</v>
      </c>
      <c r="D7">
        <v>0</v>
      </c>
      <c r="E7" s="1">
        <f t="shared" si="0"/>
        <v>-1.3402861024733483</v>
      </c>
      <c r="F7">
        <f t="shared" si="1"/>
        <v>0.26177076460252718</v>
      </c>
      <c r="G7">
        <f t="shared" si="2"/>
        <v>0.79253698695024999</v>
      </c>
      <c r="H7">
        <f t="shared" si="3"/>
        <v>-0.23251610308917001</v>
      </c>
    </row>
    <row r="8" spans="1:13" x14ac:dyDescent="0.3">
      <c r="A8">
        <v>1</v>
      </c>
      <c r="B8">
        <v>23</v>
      </c>
      <c r="C8">
        <v>0</v>
      </c>
      <c r="D8">
        <v>1</v>
      </c>
      <c r="E8" s="1">
        <f t="shared" si="0"/>
        <v>0.47251250607266726</v>
      </c>
      <c r="F8">
        <f t="shared" si="1"/>
        <v>1.6040192427072881</v>
      </c>
      <c r="G8">
        <f t="shared" si="2"/>
        <v>0.61597826022193969</v>
      </c>
      <c r="H8">
        <f t="shared" si="3"/>
        <v>-0.48454360791888967</v>
      </c>
    </row>
    <row r="9" spans="1:13" x14ac:dyDescent="0.3">
      <c r="A9">
        <v>1</v>
      </c>
      <c r="B9">
        <v>33</v>
      </c>
      <c r="C9">
        <v>0</v>
      </c>
      <c r="D9">
        <v>1</v>
      </c>
      <c r="E9" s="1">
        <f t="shared" si="0"/>
        <v>0.90515332890920575</v>
      </c>
      <c r="F9">
        <f t="shared" si="1"/>
        <v>2.4723109707416064</v>
      </c>
      <c r="G9">
        <f t="shared" si="2"/>
        <v>0.7120073609690486</v>
      </c>
      <c r="H9">
        <f t="shared" si="3"/>
        <v>-0.3396670291839276</v>
      </c>
    </row>
    <row r="10" spans="1:13" x14ac:dyDescent="0.3">
      <c r="A10">
        <v>0</v>
      </c>
      <c r="B10">
        <v>27</v>
      </c>
      <c r="C10">
        <v>0</v>
      </c>
      <c r="D10">
        <v>0</v>
      </c>
      <c r="E10" s="1">
        <f t="shared" si="0"/>
        <v>-0.69132486821854067</v>
      </c>
      <c r="F10">
        <f t="shared" si="1"/>
        <v>0.50091198688079752</v>
      </c>
      <c r="G10">
        <f t="shared" si="2"/>
        <v>0.66626158544992686</v>
      </c>
      <c r="H10">
        <f t="shared" si="3"/>
        <v>-0.40607291461022821</v>
      </c>
    </row>
    <row r="11" spans="1:13" x14ac:dyDescent="0.3">
      <c r="A11">
        <v>0</v>
      </c>
      <c r="B11">
        <v>27</v>
      </c>
      <c r="C11">
        <v>1</v>
      </c>
      <c r="D11">
        <v>0</v>
      </c>
      <c r="E11" s="1">
        <f t="shared" si="0"/>
        <v>-1.5608977671193021</v>
      </c>
      <c r="F11">
        <f t="shared" si="1"/>
        <v>0.20994750260346987</v>
      </c>
      <c r="G11">
        <f t="shared" si="2"/>
        <v>0.82648213897568168</v>
      </c>
      <c r="H11">
        <f t="shared" si="3"/>
        <v>-0.1905769723893139</v>
      </c>
    </row>
    <row r="12" spans="1:13" x14ac:dyDescent="0.3">
      <c r="A12">
        <v>1</v>
      </c>
      <c r="B12">
        <v>48</v>
      </c>
      <c r="C12">
        <v>1</v>
      </c>
      <c r="D12">
        <v>1</v>
      </c>
      <c r="E12" s="1">
        <f t="shared" si="0"/>
        <v>0.6845416642632518</v>
      </c>
      <c r="F12">
        <f t="shared" si="1"/>
        <v>1.9828628103466572</v>
      </c>
      <c r="G12">
        <f t="shared" si="2"/>
        <v>0.66475159483322543</v>
      </c>
      <c r="H12">
        <f t="shared" si="3"/>
        <v>-0.40834184971449894</v>
      </c>
    </row>
    <row r="13" spans="1:13" x14ac:dyDescent="0.3">
      <c r="A13">
        <v>1</v>
      </c>
      <c r="B13">
        <v>34</v>
      </c>
      <c r="C13">
        <v>1</v>
      </c>
      <c r="D13">
        <v>1</v>
      </c>
      <c r="E13" s="1">
        <f t="shared" si="0"/>
        <v>7.8844512292098212E-2</v>
      </c>
      <c r="F13">
        <f t="shared" si="1"/>
        <v>1.0820360656820336</v>
      </c>
      <c r="G13">
        <f t="shared" si="2"/>
        <v>0.51970092330152795</v>
      </c>
      <c r="H13">
        <f t="shared" si="3"/>
        <v>-0.65450178036449325</v>
      </c>
    </row>
    <row r="14" spans="1:13" x14ac:dyDescent="0.3">
      <c r="A14">
        <v>1</v>
      </c>
      <c r="B14">
        <v>32</v>
      </c>
      <c r="C14">
        <v>1</v>
      </c>
      <c r="D14">
        <v>1</v>
      </c>
      <c r="E14" s="1">
        <f t="shared" si="0"/>
        <v>-7.6836522752095071E-3</v>
      </c>
      <c r="F14">
        <f t="shared" si="1"/>
        <v>0.99234579152070868</v>
      </c>
      <c r="G14">
        <f t="shared" si="2"/>
        <v>0.49807909638179598</v>
      </c>
      <c r="H14">
        <f t="shared" si="3"/>
        <v>-0.69699638649343199</v>
      </c>
    </row>
    <row r="15" spans="1:13" x14ac:dyDescent="0.3">
      <c r="A15">
        <v>1</v>
      </c>
      <c r="B15">
        <v>66</v>
      </c>
      <c r="C15">
        <v>0</v>
      </c>
      <c r="D15">
        <v>1</v>
      </c>
      <c r="E15" s="1">
        <f t="shared" si="0"/>
        <v>2.3328680442697829</v>
      </c>
      <c r="F15">
        <f t="shared" si="1"/>
        <v>10.307461436322079</v>
      </c>
      <c r="G15">
        <f t="shared" si="2"/>
        <v>0.91156282021110613</v>
      </c>
      <c r="H15">
        <f t="shared" si="3"/>
        <v>-9.2594767642976292E-2</v>
      </c>
    </row>
    <row r="16" spans="1:13" x14ac:dyDescent="0.3">
      <c r="A16">
        <v>0</v>
      </c>
      <c r="B16">
        <v>24</v>
      </c>
      <c r="C16">
        <v>0</v>
      </c>
      <c r="D16">
        <v>1</v>
      </c>
      <c r="E16" s="1">
        <f t="shared" si="0"/>
        <v>0.51577658835632101</v>
      </c>
      <c r="F16">
        <f t="shared" si="1"/>
        <v>1.6749387347782663</v>
      </c>
      <c r="G16">
        <f t="shared" si="2"/>
        <v>0.37384033772380698</v>
      </c>
      <c r="H16">
        <f t="shared" si="3"/>
        <v>-0.98392647719906534</v>
      </c>
    </row>
    <row r="17" spans="1:8" x14ac:dyDescent="0.3">
      <c r="A17">
        <v>1</v>
      </c>
      <c r="B17">
        <v>34</v>
      </c>
      <c r="C17">
        <v>0</v>
      </c>
      <c r="D17">
        <v>0</v>
      </c>
      <c r="E17" s="1">
        <f t="shared" si="0"/>
        <v>-0.38847629223296365</v>
      </c>
      <c r="F17">
        <f t="shared" si="1"/>
        <v>0.67808929767242088</v>
      </c>
      <c r="G17">
        <f t="shared" si="2"/>
        <v>0.40408415607736653</v>
      </c>
      <c r="H17">
        <f t="shared" si="3"/>
        <v>-0.9061321155917087</v>
      </c>
    </row>
    <row r="18" spans="1:8" x14ac:dyDescent="0.3">
      <c r="A18">
        <v>0</v>
      </c>
      <c r="B18">
        <v>27</v>
      </c>
      <c r="C18">
        <v>0</v>
      </c>
      <c r="D18">
        <v>0</v>
      </c>
      <c r="E18" s="1">
        <f t="shared" si="0"/>
        <v>-0.69132486821854067</v>
      </c>
      <c r="F18">
        <f t="shared" si="1"/>
        <v>0.50091198688079752</v>
      </c>
      <c r="G18">
        <f t="shared" si="2"/>
        <v>0.66626158544992686</v>
      </c>
      <c r="H18">
        <f t="shared" si="3"/>
        <v>-0.40607291461022821</v>
      </c>
    </row>
    <row r="19" spans="1:8" x14ac:dyDescent="0.3">
      <c r="A19">
        <v>0</v>
      </c>
      <c r="B19">
        <v>34</v>
      </c>
      <c r="C19">
        <v>1</v>
      </c>
      <c r="D19">
        <v>1</v>
      </c>
      <c r="E19" s="1">
        <f t="shared" si="0"/>
        <v>7.8844512292098212E-2</v>
      </c>
      <c r="F19">
        <f t="shared" si="1"/>
        <v>1.0820360656820336</v>
      </c>
      <c r="G19">
        <f t="shared" si="2"/>
        <v>0.48029907669847205</v>
      </c>
      <c r="H19">
        <f t="shared" si="3"/>
        <v>-0.73334629265659135</v>
      </c>
    </row>
    <row r="20" spans="1:8" x14ac:dyDescent="0.3">
      <c r="A20">
        <v>1</v>
      </c>
      <c r="B20">
        <v>55</v>
      </c>
      <c r="C20">
        <v>0</v>
      </c>
      <c r="D20">
        <v>1</v>
      </c>
      <c r="E20" s="1">
        <f t="shared" si="0"/>
        <v>1.8569631391495902</v>
      </c>
      <c r="F20">
        <f t="shared" si="1"/>
        <v>6.404258368284613</v>
      </c>
      <c r="G20">
        <f t="shared" si="2"/>
        <v>0.86494258435343119</v>
      </c>
      <c r="H20">
        <f t="shared" si="3"/>
        <v>-0.14509215072329484</v>
      </c>
    </row>
    <row r="21" spans="1:8" x14ac:dyDescent="0.3">
      <c r="A21">
        <v>1</v>
      </c>
      <c r="B21">
        <v>65</v>
      </c>
      <c r="C21">
        <v>0</v>
      </c>
      <c r="D21">
        <v>1</v>
      </c>
      <c r="E21" s="1">
        <f t="shared" si="0"/>
        <v>2.2896039619861286</v>
      </c>
      <c r="F21">
        <f t="shared" si="1"/>
        <v>9.8710276047873773</v>
      </c>
      <c r="G21">
        <f t="shared" si="2"/>
        <v>0.90801237598186024</v>
      </c>
      <c r="H21">
        <f t="shared" si="3"/>
        <v>-9.6497270537761068E-2</v>
      </c>
    </row>
    <row r="22" spans="1:8" x14ac:dyDescent="0.3">
      <c r="A22">
        <v>1</v>
      </c>
      <c r="B22">
        <v>44</v>
      </c>
      <c r="C22">
        <v>0</v>
      </c>
      <c r="D22">
        <v>1</v>
      </c>
      <c r="E22" s="1">
        <f t="shared" si="0"/>
        <v>1.381058234029398</v>
      </c>
      <c r="F22">
        <f t="shared" si="1"/>
        <v>3.9791102301109711</v>
      </c>
      <c r="G22">
        <f t="shared" si="2"/>
        <v>0.79916090349787006</v>
      </c>
      <c r="H22">
        <f t="shared" si="3"/>
        <v>-0.22419297239160299</v>
      </c>
    </row>
    <row r="23" spans="1:8" x14ac:dyDescent="0.3">
      <c r="A23">
        <v>1</v>
      </c>
      <c r="B23">
        <v>88</v>
      </c>
      <c r="C23">
        <v>0</v>
      </c>
      <c r="D23">
        <v>0</v>
      </c>
      <c r="E23" s="1">
        <f t="shared" si="0"/>
        <v>1.9477841510843439</v>
      </c>
      <c r="F23">
        <f t="shared" si="1"/>
        <v>7.0131303134775855</v>
      </c>
      <c r="G23">
        <f t="shared" si="2"/>
        <v>0.87520482497107743</v>
      </c>
      <c r="H23">
        <f t="shared" si="3"/>
        <v>-0.13329733433706945</v>
      </c>
    </row>
    <row r="24" spans="1:8" x14ac:dyDescent="0.3">
      <c r="A24">
        <v>0</v>
      </c>
      <c r="B24">
        <v>33</v>
      </c>
      <c r="C24">
        <v>0</v>
      </c>
      <c r="D24">
        <v>0</v>
      </c>
      <c r="E24" s="1">
        <f t="shared" si="0"/>
        <v>-0.43174037451661751</v>
      </c>
      <c r="F24">
        <f t="shared" si="1"/>
        <v>0.64937794986538555</v>
      </c>
      <c r="G24">
        <f t="shared" si="2"/>
        <v>0.60628917712984776</v>
      </c>
      <c r="H24">
        <f t="shared" si="3"/>
        <v>-0.50039821674850815</v>
      </c>
    </row>
    <row r="25" spans="1:8" x14ac:dyDescent="0.3">
      <c r="A25">
        <v>0</v>
      </c>
      <c r="B25">
        <v>43</v>
      </c>
      <c r="C25">
        <v>1</v>
      </c>
      <c r="D25">
        <v>0</v>
      </c>
      <c r="E25" s="1">
        <f t="shared" si="0"/>
        <v>-0.86867245058084053</v>
      </c>
      <c r="F25">
        <f t="shared" si="1"/>
        <v>0.41950809747439843</v>
      </c>
      <c r="G25">
        <f t="shared" si="2"/>
        <v>0.70446938751473764</v>
      </c>
      <c r="H25">
        <f t="shared" si="3"/>
        <v>-0.35031040136998903</v>
      </c>
    </row>
    <row r="26" spans="1:8" x14ac:dyDescent="0.3">
      <c r="A26">
        <v>0</v>
      </c>
      <c r="B26">
        <v>32</v>
      </c>
      <c r="C26">
        <v>1</v>
      </c>
      <c r="D26">
        <v>1</v>
      </c>
      <c r="E26" s="1">
        <f t="shared" si="0"/>
        <v>-7.6836522752095071E-3</v>
      </c>
      <c r="F26">
        <f t="shared" si="1"/>
        <v>0.99234579152070868</v>
      </c>
      <c r="G26">
        <f t="shared" si="2"/>
        <v>0.50192090361820396</v>
      </c>
      <c r="H26">
        <f t="shared" si="3"/>
        <v>-0.6893127342182227</v>
      </c>
    </row>
    <row r="27" spans="1:8" x14ac:dyDescent="0.3">
      <c r="A27">
        <v>0</v>
      </c>
      <c r="B27">
        <v>66</v>
      </c>
      <c r="C27">
        <v>0</v>
      </c>
      <c r="D27">
        <v>1</v>
      </c>
      <c r="E27" s="1">
        <f t="shared" si="0"/>
        <v>2.3328680442697829</v>
      </c>
      <c r="F27">
        <f t="shared" si="1"/>
        <v>10.307461436322079</v>
      </c>
      <c r="G27">
        <f t="shared" si="2"/>
        <v>8.8437179788893872E-2</v>
      </c>
      <c r="H27">
        <f t="shared" si="3"/>
        <v>-2.4254628119127593</v>
      </c>
    </row>
    <row r="28" spans="1:8" x14ac:dyDescent="0.3">
      <c r="A28">
        <v>1</v>
      </c>
      <c r="B28">
        <v>24</v>
      </c>
      <c r="C28">
        <v>0</v>
      </c>
      <c r="D28">
        <v>1</v>
      </c>
      <c r="E28" s="1">
        <f t="shared" si="0"/>
        <v>0.51577658835632101</v>
      </c>
      <c r="F28">
        <f t="shared" si="1"/>
        <v>1.6749387347782663</v>
      </c>
      <c r="G28">
        <f t="shared" si="2"/>
        <v>0.62615966227619302</v>
      </c>
      <c r="H28">
        <f t="shared" si="3"/>
        <v>-0.46814988884274433</v>
      </c>
    </row>
    <row r="29" spans="1:8" x14ac:dyDescent="0.3">
      <c r="A29">
        <v>0</v>
      </c>
      <c r="B29">
        <v>34</v>
      </c>
      <c r="C29">
        <v>0</v>
      </c>
      <c r="D29">
        <v>0</v>
      </c>
      <c r="E29" s="1">
        <f t="shared" si="0"/>
        <v>-0.38847629223296365</v>
      </c>
      <c r="F29">
        <f t="shared" si="1"/>
        <v>0.67808929767242088</v>
      </c>
      <c r="G29">
        <f t="shared" si="2"/>
        <v>0.59591584392263353</v>
      </c>
      <c r="H29">
        <f t="shared" si="3"/>
        <v>-0.51765582335874505</v>
      </c>
    </row>
    <row r="30" spans="1:8" x14ac:dyDescent="0.3">
      <c r="A30">
        <v>1</v>
      </c>
      <c r="B30">
        <v>27</v>
      </c>
      <c r="C30">
        <v>0</v>
      </c>
      <c r="D30">
        <v>0</v>
      </c>
      <c r="E30" s="1">
        <f t="shared" si="0"/>
        <v>-0.69132486821854067</v>
      </c>
      <c r="F30">
        <f t="shared" si="1"/>
        <v>0.50091198688079752</v>
      </c>
      <c r="G30">
        <f t="shared" si="2"/>
        <v>0.33373841455007314</v>
      </c>
      <c r="H30">
        <f t="shared" si="3"/>
        <v>-1.0973977828287689</v>
      </c>
    </row>
    <row r="31" spans="1:8" x14ac:dyDescent="0.3">
      <c r="A31">
        <v>0</v>
      </c>
      <c r="B31">
        <v>34</v>
      </c>
      <c r="C31">
        <v>1</v>
      </c>
      <c r="D31">
        <v>0</v>
      </c>
      <c r="E31" s="1">
        <f t="shared" si="0"/>
        <v>-1.258049191133725</v>
      </c>
      <c r="F31">
        <f t="shared" si="1"/>
        <v>0.28420792138548667</v>
      </c>
      <c r="G31">
        <f t="shared" si="2"/>
        <v>0.77869010410801331</v>
      </c>
      <c r="H31">
        <f t="shared" si="3"/>
        <v>-0.2501421247013243</v>
      </c>
    </row>
    <row r="32" spans="1:8" x14ac:dyDescent="0.3">
      <c r="A32">
        <v>1</v>
      </c>
      <c r="B32">
        <v>55</v>
      </c>
      <c r="C32">
        <v>1</v>
      </c>
      <c r="D32">
        <v>1</v>
      </c>
      <c r="E32" s="1">
        <f t="shared" si="0"/>
        <v>0.98739024024882882</v>
      </c>
      <c r="F32">
        <f t="shared" si="1"/>
        <v>2.6842201537666401</v>
      </c>
      <c r="G32">
        <f t="shared" si="2"/>
        <v>0.72857213785728059</v>
      </c>
      <c r="H32">
        <f t="shared" si="3"/>
        <v>-0.31666863579590632</v>
      </c>
    </row>
    <row r="33" spans="1:9" x14ac:dyDescent="0.3">
      <c r="A33">
        <v>1</v>
      </c>
      <c r="B33">
        <v>65</v>
      </c>
      <c r="C33">
        <v>1</v>
      </c>
      <c r="D33">
        <v>1</v>
      </c>
      <c r="E33" s="1">
        <f t="shared" si="0"/>
        <v>1.4200310630853674</v>
      </c>
      <c r="F33">
        <f t="shared" si="1"/>
        <v>4.1372489539728097</v>
      </c>
      <c r="G33">
        <f t="shared" si="2"/>
        <v>0.80534328607402494</v>
      </c>
      <c r="H33">
        <f t="shared" si="3"/>
        <v>-0.21648665013628024</v>
      </c>
    </row>
    <row r="34" spans="1:9" x14ac:dyDescent="0.3">
      <c r="A34">
        <v>1</v>
      </c>
      <c r="B34">
        <v>44</v>
      </c>
      <c r="C34">
        <v>0</v>
      </c>
      <c r="D34">
        <v>1</v>
      </c>
      <c r="E34" s="1">
        <f t="shared" si="0"/>
        <v>1.381058234029398</v>
      </c>
      <c r="F34">
        <f t="shared" si="1"/>
        <v>3.9791102301109711</v>
      </c>
      <c r="G34">
        <f t="shared" si="2"/>
        <v>0.79916090349787006</v>
      </c>
      <c r="H34">
        <f t="shared" si="3"/>
        <v>-0.22419297239160299</v>
      </c>
    </row>
    <row r="35" spans="1:9" x14ac:dyDescent="0.3">
      <c r="A35">
        <v>1</v>
      </c>
      <c r="B35">
        <v>88</v>
      </c>
      <c r="C35">
        <v>0</v>
      </c>
      <c r="D35">
        <v>0</v>
      </c>
      <c r="E35" s="1">
        <f t="shared" si="0"/>
        <v>1.9477841510843439</v>
      </c>
      <c r="F35">
        <f t="shared" si="1"/>
        <v>7.0131303134775855</v>
      </c>
      <c r="G35">
        <f t="shared" si="2"/>
        <v>0.87520482497107743</v>
      </c>
      <c r="H35">
        <f t="shared" si="3"/>
        <v>-0.13329733433706945</v>
      </c>
    </row>
    <row r="36" spans="1:9" x14ac:dyDescent="0.3">
      <c r="A36">
        <v>0</v>
      </c>
      <c r="B36">
        <v>33</v>
      </c>
      <c r="C36">
        <v>0</v>
      </c>
      <c r="D36">
        <v>0</v>
      </c>
      <c r="E36" s="1">
        <f t="shared" si="0"/>
        <v>-0.43174037451661751</v>
      </c>
      <c r="F36">
        <f t="shared" si="1"/>
        <v>0.64937794986538555</v>
      </c>
      <c r="G36">
        <f t="shared" si="2"/>
        <v>0.60628917712984776</v>
      </c>
      <c r="H36">
        <f t="shared" si="3"/>
        <v>-0.50039821674850815</v>
      </c>
    </row>
    <row r="37" spans="1:9" x14ac:dyDescent="0.3">
      <c r="A37">
        <v>0</v>
      </c>
      <c r="B37">
        <v>43</v>
      </c>
      <c r="C37">
        <v>1</v>
      </c>
      <c r="D37">
        <v>0</v>
      </c>
      <c r="E37" s="1">
        <f t="shared" si="0"/>
        <v>-0.86867245058084053</v>
      </c>
      <c r="F37">
        <f t="shared" si="1"/>
        <v>0.41950809747439843</v>
      </c>
      <c r="G37">
        <f t="shared" si="2"/>
        <v>0.70446938751473764</v>
      </c>
      <c r="H37">
        <f t="shared" si="3"/>
        <v>-0.35031040136998903</v>
      </c>
    </row>
    <row r="38" spans="1:9" x14ac:dyDescent="0.3">
      <c r="G38" t="s">
        <v>16</v>
      </c>
      <c r="H38">
        <f>SUM(H2:H37)</f>
        <v>-20.334850201450973</v>
      </c>
    </row>
    <row r="40" spans="1:9" x14ac:dyDescent="0.3">
      <c r="A40" t="s">
        <v>17</v>
      </c>
    </row>
    <row r="42" spans="1:9" x14ac:dyDescent="0.3">
      <c r="A42" t="s">
        <v>18</v>
      </c>
    </row>
    <row r="43" spans="1:9" x14ac:dyDescent="0.3">
      <c r="A43" t="s">
        <v>19</v>
      </c>
      <c r="B43">
        <v>8.0790434665304858</v>
      </c>
    </row>
    <row r="44" spans="1:9" x14ac:dyDescent="0.3">
      <c r="A44" t="s">
        <v>20</v>
      </c>
      <c r="B44">
        <v>40.183800517730738</v>
      </c>
    </row>
    <row r="45" spans="1:9" x14ac:dyDescent="0.3">
      <c r="A45" t="s">
        <v>21</v>
      </c>
      <c r="B45">
        <v>6</v>
      </c>
    </row>
    <row r="46" spans="1:9" x14ac:dyDescent="0.3">
      <c r="A46" t="s">
        <v>22</v>
      </c>
      <c r="B46">
        <v>35</v>
      </c>
    </row>
    <row r="48" spans="1:9" x14ac:dyDescent="0.3">
      <c r="B48" t="s">
        <v>23</v>
      </c>
      <c r="C48" t="s">
        <v>24</v>
      </c>
      <c r="D48" t="s">
        <v>25</v>
      </c>
      <c r="E48" t="s">
        <v>26</v>
      </c>
      <c r="F48" t="s">
        <v>27</v>
      </c>
      <c r="G48" t="s">
        <v>28</v>
      </c>
      <c r="H48" t="s">
        <v>27</v>
      </c>
      <c r="I48" t="s">
        <v>28</v>
      </c>
    </row>
    <row r="49" spans="1:9" x14ac:dyDescent="0.3">
      <c r="A49" t="s">
        <v>29</v>
      </c>
      <c r="B49">
        <v>-1.8479946509685172</v>
      </c>
      <c r="C49">
        <v>1.0492065981133485</v>
      </c>
      <c r="D49">
        <v>7.8183275674858499E-2</v>
      </c>
      <c r="E49">
        <v>0.1575527980829651</v>
      </c>
      <c r="F49">
        <v>2.015300650305802E-2</v>
      </c>
      <c r="G49">
        <v>1.2317211419549212</v>
      </c>
      <c r="H49">
        <v>2.015300650305802E-2</v>
      </c>
      <c r="I49">
        <v>1.2317211419549212</v>
      </c>
    </row>
    <row r="50" spans="1:9" x14ac:dyDescent="0.3">
      <c r="A50">
        <v>43</v>
      </c>
      <c r="B50">
        <v>4.2374398659245291E-2</v>
      </c>
      <c r="C50">
        <v>2.5207258877411959E-2</v>
      </c>
      <c r="D50">
        <v>9.275523626269444E-2</v>
      </c>
      <c r="E50">
        <v>1.0432850101479958</v>
      </c>
      <c r="F50">
        <v>0.99299373820891557</v>
      </c>
      <c r="G50">
        <v>1.0961233394711563</v>
      </c>
      <c r="H50">
        <v>0.99299373820891557</v>
      </c>
      <c r="I50">
        <v>1.0961233394711563</v>
      </c>
    </row>
    <row r="51" spans="1:9" x14ac:dyDescent="0.3">
      <c r="A51">
        <v>0</v>
      </c>
      <c r="B51">
        <v>-0.79983541927154944</v>
      </c>
      <c r="C51">
        <v>0.80599123953337526</v>
      </c>
      <c r="D51">
        <v>0.32102076264891843</v>
      </c>
      <c r="E51">
        <v>0.44940292109122931</v>
      </c>
      <c r="F51">
        <v>9.2592306807701474E-2</v>
      </c>
      <c r="G51">
        <v>2.1812069754863388</v>
      </c>
      <c r="H51">
        <v>9.2592306807701474E-2</v>
      </c>
      <c r="I51">
        <v>2.1812069754863388</v>
      </c>
    </row>
    <row r="52" spans="1:9" x14ac:dyDescent="0.3">
      <c r="A52">
        <v>1</v>
      </c>
      <c r="B52">
        <v>1.2689646390320857</v>
      </c>
      <c r="C52">
        <v>0.78841702626614829</v>
      </c>
      <c r="D52">
        <v>0.10750499456912199</v>
      </c>
      <c r="E52">
        <v>3.5571677025091608</v>
      </c>
      <c r="F52">
        <v>0.7585820308598501</v>
      </c>
      <c r="G52">
        <v>16.680387287096252</v>
      </c>
      <c r="H52">
        <v>0.7585820308598501</v>
      </c>
      <c r="I52">
        <v>16.680387287096252</v>
      </c>
    </row>
  </sheetData>
  <pageMargins left="0.7" right="0.7" top="0.75" bottom="0.75" header="0.3" footer="0.3"/>
  <ignoredErrors>
    <ignoredError sqref="A1:D1 B5 B3 B9 B6 B7 B15 B10 B11 B17 B16 B23 B18 B19 B28 B24 B25 B26 B27 B30 B29 B35 B31 B37 B36 B2 B4 B8 B12 B13 B14 B20 B21 B22 B32 B33 B34" numberStoredAsText="1"/>
  </ignoredErrors>
  <extLst>
    <ext xmlns:x15="http://schemas.microsoft.com/office/spreadsheetml/2010/11/main" uri="{F7C9EE02-42E1-4005-9D12-6889AFFD525C}">
      <x15:webExtensions xmlns:xm="http://schemas.microsoft.com/office/excel/2006/main">
        <x15:webExtension appRef="{AA40A2CF-1929-4EB8-BF3B-3FB7599C20F8}">
          <xm:f>Data!1:1048576</xm:f>
        </x15:webExtension>
        <x15:webExtension appRef="{8D854DBE-F272-4657-B9B7-9532E20C3863}">
          <xm:f>Data!$A$2:$A$37</xm:f>
        </x15:webExtension>
        <x15:webExtension appRef="{48F7830A-3D04-4392-BD4B-13A9C6F4F692}">
          <xm:f>Data!$B$2:$D$37</xm:f>
        </x15:webExtension>
        <x15:webExtension appRef="{49F151E5-1C2B-490C-A798-6B4277B64DED}">
          <xm:f>Data!$A$40:$J$53</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sneha mirani</cp:lastModifiedBy>
  <dcterms:created xsi:type="dcterms:W3CDTF">2026-02-03T13:10:50Z</dcterms:created>
  <dcterms:modified xsi:type="dcterms:W3CDTF">2026-02-05T12:32:35Z</dcterms:modified>
</cp:coreProperties>
</file>