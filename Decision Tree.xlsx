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9b4a124cc33975/Documents/"/>
    </mc:Choice>
  </mc:AlternateContent>
  <xr:revisionPtr revIDLastSave="1" documentId="8_{7E129F13-19AD-40F0-B2C3-7D955E5C2624}" xr6:coauthVersionLast="47" xr6:coauthVersionMax="47" xr10:uidLastSave="{5C6BFFE2-C5DA-41CD-BBBC-02E8762D0CE1}"/>
  <bookViews>
    <workbookView xWindow="-108" yWindow="-108" windowWidth="23256" windowHeight="12456" activeTab="1" xr2:uid="{454620B1-D5CD-4D02-8F43-FB8A4346B0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G28" i="1"/>
  <c r="G18" i="1"/>
  <c r="G9" i="1"/>
  <c r="P28" i="1"/>
  <c r="P27" i="1"/>
  <c r="P26" i="1"/>
  <c r="P25" i="1"/>
  <c r="P18" i="1"/>
  <c r="P17" i="1"/>
  <c r="P16" i="1"/>
  <c r="P15" i="1"/>
  <c r="P10" i="1"/>
  <c r="P9" i="1"/>
  <c r="P8" i="1"/>
  <c r="P7" i="1"/>
</calcChain>
</file>

<file path=xl/sharedStrings.xml><?xml version="1.0" encoding="utf-8"?>
<sst xmlns="http://schemas.openxmlformats.org/spreadsheetml/2006/main" count="21" uniqueCount="17">
  <si>
    <t>1 year ARM</t>
  </si>
  <si>
    <t>Rates Rise (0.6)</t>
  </si>
  <si>
    <t>Rates Fail(0.1)</t>
  </si>
  <si>
    <t>Rates Stable (0.3)</t>
  </si>
  <si>
    <t>`</t>
  </si>
  <si>
    <t>Rates rise(0.6)</t>
  </si>
  <si>
    <t>Rates fail(0.1)</t>
  </si>
  <si>
    <t>Rates rise (0.6)</t>
  </si>
  <si>
    <t>Rates stable(0.3)</t>
  </si>
  <si>
    <t xml:space="preserve">Expected Value Strategy </t>
  </si>
  <si>
    <t xml:space="preserve">For Decision 1 </t>
  </si>
  <si>
    <t xml:space="preserve">For decision 2 </t>
  </si>
  <si>
    <t>3 year ARM</t>
  </si>
  <si>
    <t>30 year fixed</t>
  </si>
  <si>
    <t>For Decision 3</t>
  </si>
  <si>
    <t>final go with 3 year ARM</t>
  </si>
  <si>
    <t xml:space="preserve">Final decision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</si>
</sst>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2" borderId="0" xfId="0" applyNumberFormat="1" applyFill="1"/>
    <xf numFmtId="1" fontId="0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6047</xdr:colOff>
      <xdr:row>16</xdr:row>
      <xdr:rowOff>0</xdr:rowOff>
    </xdr:from>
    <xdr:to>
      <xdr:col>4</xdr:col>
      <xdr:colOff>604762</xdr:colOff>
      <xdr:row>18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F3EAAD-FCDC-0E25-F53B-6DF0E8E531A1}"/>
            </a:ext>
          </a:extLst>
        </xdr:cNvPr>
        <xdr:cNvSpPr/>
      </xdr:nvSpPr>
      <xdr:spPr>
        <a:xfrm>
          <a:off x="1838476" y="2902857"/>
          <a:ext cx="1209524" cy="3628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6047</xdr:colOff>
      <xdr:row>7</xdr:row>
      <xdr:rowOff>102810</xdr:rowOff>
    </xdr:from>
    <xdr:to>
      <xdr:col>5</xdr:col>
      <xdr:colOff>362857</xdr:colOff>
      <xdr:row>16</xdr:row>
      <xdr:rowOff>139096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623B53-DCE8-2AAD-A188-96E9BB223AA8}"/>
            </a:ext>
          </a:extLst>
        </xdr:cNvPr>
        <xdr:cNvCxnSpPr/>
      </xdr:nvCxnSpPr>
      <xdr:spPr>
        <a:xfrm flipV="1">
          <a:off x="3060095" y="1372810"/>
          <a:ext cx="356810" cy="1669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350762</xdr:colOff>
      <xdr:row>7</xdr:row>
      <xdr:rowOff>102810</xdr:rowOff>
    </xdr:from>
    <xdr:to>
      <xdr:col>7</xdr:col>
      <xdr:colOff>296333</xdr:colOff>
      <xdr:row>7</xdr:row>
      <xdr:rowOff>102810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A2168E0-96FD-6093-C405-9D327D14B523}"/>
            </a:ext>
          </a:extLst>
        </xdr:cNvPr>
        <xdr:cNvCxnSpPr/>
      </xdr:nvCxnSpPr>
      <xdr:spPr>
        <a:xfrm>
          <a:off x="3404810" y="1372810"/>
          <a:ext cx="11671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278191</xdr:colOff>
      <xdr:row>6</xdr:row>
      <xdr:rowOff>78620</xdr:rowOff>
    </xdr:from>
    <xdr:to>
      <xdr:col>8</xdr:col>
      <xdr:colOff>145144</xdr:colOff>
      <xdr:row>8</xdr:row>
      <xdr:rowOff>169333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D85DE19-BAB4-CA79-5E99-3F1C2091FB85}"/>
            </a:ext>
          </a:extLst>
        </xdr:cNvPr>
        <xdr:cNvSpPr/>
      </xdr:nvSpPr>
      <xdr:spPr>
        <a:xfrm>
          <a:off x="4553858" y="1167191"/>
          <a:ext cx="477762" cy="45357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74894</xdr:colOff>
      <xdr:row>5</xdr:row>
      <xdr:rowOff>7856</xdr:rowOff>
    </xdr:from>
    <xdr:to>
      <xdr:col>8</xdr:col>
      <xdr:colOff>243526</xdr:colOff>
      <xdr:row>6</xdr:row>
      <xdr:rowOff>144825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37035F9-BA40-D64B-EA57-65FE63B1D7D4}"/>
            </a:ext>
          </a:extLst>
        </xdr:cNvPr>
        <xdr:cNvCxnSpPr>
          <a:stCxn id="7" idx="7"/>
        </xdr:cNvCxnSpPr>
      </xdr:nvCxnSpPr>
      <xdr:spPr>
        <a:xfrm flipV="1">
          <a:off x="5173224" y="911258"/>
          <a:ext cx="168632" cy="3176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251381</xdr:colOff>
      <xdr:row>4</xdr:row>
      <xdr:rowOff>179917</xdr:rowOff>
    </xdr:from>
    <xdr:to>
      <xdr:col>11</xdr:col>
      <xdr:colOff>387047</xdr:colOff>
      <xdr:row>5</xdr:row>
      <xdr:rowOff>15711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203170E-0D19-BD16-CF97-BBA414FDADF9}"/>
            </a:ext>
          </a:extLst>
        </xdr:cNvPr>
        <xdr:cNvCxnSpPr>
          <a:cxnSpLocks/>
        </xdr:cNvCxnSpPr>
      </xdr:nvCxnSpPr>
      <xdr:spPr>
        <a:xfrm flipV="1">
          <a:off x="5349711" y="902639"/>
          <a:ext cx="1973893" cy="164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75177</xdr:colOff>
      <xdr:row>8</xdr:row>
      <xdr:rowOff>102909</xdr:rowOff>
    </xdr:from>
    <xdr:to>
      <xdr:col>8</xdr:col>
      <xdr:colOff>332619</xdr:colOff>
      <xdr:row>10</xdr:row>
      <xdr:rowOff>42333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B9A327E-FD19-19BD-0E38-A4B9D100D94E}"/>
            </a:ext>
          </a:extLst>
        </xdr:cNvPr>
        <xdr:cNvCxnSpPr>
          <a:stCxn id="7" idx="5"/>
        </xdr:cNvCxnSpPr>
      </xdr:nvCxnSpPr>
      <xdr:spPr>
        <a:xfrm>
          <a:off x="5058415" y="1554338"/>
          <a:ext cx="257442" cy="3022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308429</xdr:colOff>
      <xdr:row>10</xdr:row>
      <xdr:rowOff>21165</xdr:rowOff>
    </xdr:from>
    <xdr:to>
      <xdr:col>11</xdr:col>
      <xdr:colOff>405190</xdr:colOff>
      <xdr:row>10</xdr:row>
      <xdr:rowOff>24190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24B4C4D-7FFF-F13D-2709-160CEAEE50E0}"/>
            </a:ext>
          </a:extLst>
        </xdr:cNvPr>
        <xdr:cNvCxnSpPr>
          <a:cxnSpLocks/>
        </xdr:cNvCxnSpPr>
      </xdr:nvCxnSpPr>
      <xdr:spPr>
        <a:xfrm flipV="1">
          <a:off x="5291667" y="1835451"/>
          <a:ext cx="1929190" cy="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145144</xdr:colOff>
      <xdr:row>7</xdr:row>
      <xdr:rowOff>123977</xdr:rowOff>
    </xdr:from>
    <xdr:to>
      <xdr:col>11</xdr:col>
      <xdr:colOff>405193</xdr:colOff>
      <xdr:row>7</xdr:row>
      <xdr:rowOff>145143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5465CEA-DE62-4C2F-B8CD-7E4A22392A79}"/>
            </a:ext>
          </a:extLst>
        </xdr:cNvPr>
        <xdr:cNvCxnSpPr>
          <a:cxnSpLocks/>
          <a:stCxn id="7" idx="6"/>
        </xdr:cNvCxnSpPr>
      </xdr:nvCxnSpPr>
      <xdr:spPr>
        <a:xfrm>
          <a:off x="5128382" y="1393977"/>
          <a:ext cx="2092478" cy="211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604762</xdr:colOff>
      <xdr:row>16</xdr:row>
      <xdr:rowOff>145143</xdr:rowOff>
    </xdr:from>
    <xdr:to>
      <xdr:col>7</xdr:col>
      <xdr:colOff>314476</xdr:colOff>
      <xdr:row>16</xdr:row>
      <xdr:rowOff>145143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3639FC4-CAB9-4051-88A5-0E3C17FD8C01}"/>
            </a:ext>
          </a:extLst>
        </xdr:cNvPr>
        <xdr:cNvCxnSpPr/>
      </xdr:nvCxnSpPr>
      <xdr:spPr>
        <a:xfrm>
          <a:off x="3048000" y="3048000"/>
          <a:ext cx="16389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308429</xdr:colOff>
      <xdr:row>15</xdr:row>
      <xdr:rowOff>108856</xdr:rowOff>
    </xdr:from>
    <xdr:to>
      <xdr:col>8</xdr:col>
      <xdr:colOff>175382</xdr:colOff>
      <xdr:row>18</xdr:row>
      <xdr:rowOff>18142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EBBB0955-540A-458F-A461-BF637D776BD0}"/>
            </a:ext>
          </a:extLst>
        </xdr:cNvPr>
        <xdr:cNvSpPr/>
      </xdr:nvSpPr>
      <xdr:spPr>
        <a:xfrm>
          <a:off x="4680858" y="2830285"/>
          <a:ext cx="477762" cy="45357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14</xdr:row>
      <xdr:rowOff>78556</xdr:rowOff>
    </xdr:from>
    <xdr:to>
      <xdr:col>8</xdr:col>
      <xdr:colOff>243526</xdr:colOff>
      <xdr:row>16</xdr:row>
      <xdr:rowOff>87592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B0DE8FC3-F44F-41EB-8613-1B549B4E879B}"/>
            </a:ext>
          </a:extLst>
        </xdr:cNvPr>
        <xdr:cNvCxnSpPr/>
      </xdr:nvCxnSpPr>
      <xdr:spPr>
        <a:xfrm flipV="1">
          <a:off x="4996206" y="2608082"/>
          <a:ext cx="243526" cy="3703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243526</xdr:colOff>
      <xdr:row>14</xdr:row>
      <xdr:rowOff>39278</xdr:rowOff>
    </xdr:from>
    <xdr:to>
      <xdr:col>11</xdr:col>
      <xdr:colOff>322082</xdr:colOff>
      <xdr:row>14</xdr:row>
      <xdr:rowOff>70701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3E1258B9-454D-420A-8F8F-6E1081AF0FAD}"/>
            </a:ext>
          </a:extLst>
        </xdr:cNvPr>
        <xdr:cNvCxnSpPr>
          <a:cxnSpLocks/>
        </xdr:cNvCxnSpPr>
      </xdr:nvCxnSpPr>
      <xdr:spPr>
        <a:xfrm flipV="1">
          <a:off x="5239732" y="2568804"/>
          <a:ext cx="1916783" cy="314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105415</xdr:colOff>
      <xdr:row>17</xdr:row>
      <xdr:rowOff>133146</xdr:rowOff>
    </xdr:from>
    <xdr:to>
      <xdr:col>8</xdr:col>
      <xdr:colOff>257442</xdr:colOff>
      <xdr:row>19</xdr:row>
      <xdr:rowOff>166310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919255DD-3503-4905-B22D-2B860B6295F4}"/>
            </a:ext>
          </a:extLst>
        </xdr:cNvPr>
        <xdr:cNvCxnSpPr>
          <a:stCxn id="48" idx="5"/>
        </xdr:cNvCxnSpPr>
      </xdr:nvCxnSpPr>
      <xdr:spPr>
        <a:xfrm>
          <a:off x="5088653" y="3217432"/>
          <a:ext cx="152027" cy="39602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233252</xdr:colOff>
      <xdr:row>19</xdr:row>
      <xdr:rowOff>145142</xdr:rowOff>
    </xdr:from>
    <xdr:to>
      <xdr:col>11</xdr:col>
      <xdr:colOff>330013</xdr:colOff>
      <xdr:row>19</xdr:row>
      <xdr:rowOff>148167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5899D4EC-8E43-42EE-B0CC-A91F700D1684}"/>
            </a:ext>
          </a:extLst>
        </xdr:cNvPr>
        <xdr:cNvCxnSpPr>
          <a:cxnSpLocks/>
        </xdr:cNvCxnSpPr>
      </xdr:nvCxnSpPr>
      <xdr:spPr>
        <a:xfrm flipV="1">
          <a:off x="5216490" y="3592285"/>
          <a:ext cx="1929190" cy="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69967</xdr:colOff>
      <xdr:row>17</xdr:row>
      <xdr:rowOff>27247</xdr:rowOff>
    </xdr:from>
    <xdr:to>
      <xdr:col>11</xdr:col>
      <xdr:colOff>330016</xdr:colOff>
      <xdr:row>17</xdr:row>
      <xdr:rowOff>48413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86764C7D-912E-4463-8835-E54524C0F2AC}"/>
            </a:ext>
          </a:extLst>
        </xdr:cNvPr>
        <xdr:cNvCxnSpPr>
          <a:cxnSpLocks/>
        </xdr:cNvCxnSpPr>
      </xdr:nvCxnSpPr>
      <xdr:spPr>
        <a:xfrm>
          <a:off x="5168297" y="3098814"/>
          <a:ext cx="2098276" cy="211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604762</xdr:colOff>
      <xdr:row>17</xdr:row>
      <xdr:rowOff>0</xdr:rowOff>
    </xdr:from>
    <xdr:to>
      <xdr:col>5</xdr:col>
      <xdr:colOff>338666</xdr:colOff>
      <xdr:row>26</xdr:row>
      <xdr:rowOff>136072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3AA81ED6-B5AB-4EDA-9B28-9A39FACEC660}"/>
            </a:ext>
          </a:extLst>
        </xdr:cNvPr>
        <xdr:cNvCxnSpPr>
          <a:stCxn id="2" idx="3"/>
        </xdr:cNvCxnSpPr>
      </xdr:nvCxnSpPr>
      <xdr:spPr>
        <a:xfrm>
          <a:off x="3048000" y="3084286"/>
          <a:ext cx="344714" cy="1768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326571</xdr:colOff>
      <xdr:row>26</xdr:row>
      <xdr:rowOff>108857</xdr:rowOff>
    </xdr:from>
    <xdr:to>
      <xdr:col>7</xdr:col>
      <xdr:colOff>272142</xdr:colOff>
      <xdr:row>26</xdr:row>
      <xdr:rowOff>136072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686D197D-F356-4740-BB28-E99F1C20CE34}"/>
            </a:ext>
          </a:extLst>
        </xdr:cNvPr>
        <xdr:cNvCxnSpPr/>
      </xdr:nvCxnSpPr>
      <xdr:spPr>
        <a:xfrm>
          <a:off x="3380619" y="4826000"/>
          <a:ext cx="1263952" cy="272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254000</xdr:colOff>
      <xdr:row>25</xdr:row>
      <xdr:rowOff>111882</xdr:rowOff>
    </xdr:from>
    <xdr:to>
      <xdr:col>8</xdr:col>
      <xdr:colOff>120953</xdr:colOff>
      <xdr:row>28</xdr:row>
      <xdr:rowOff>21167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5E215F19-436A-4EF7-A205-A72D97E52067}"/>
            </a:ext>
          </a:extLst>
        </xdr:cNvPr>
        <xdr:cNvSpPr/>
      </xdr:nvSpPr>
      <xdr:spPr>
        <a:xfrm>
          <a:off x="4626429" y="4647596"/>
          <a:ext cx="477762" cy="45357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51029</xdr:colOff>
      <xdr:row>24</xdr:row>
      <xdr:rowOff>22952</xdr:rowOff>
    </xdr:from>
    <xdr:to>
      <xdr:col>8</xdr:col>
      <xdr:colOff>234109</xdr:colOff>
      <xdr:row>25</xdr:row>
      <xdr:rowOff>179266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28204E73-3DEE-4244-9703-55DBA2DFB07D}"/>
            </a:ext>
          </a:extLst>
        </xdr:cNvPr>
        <xdr:cNvCxnSpPr>
          <a:stCxn id="109" idx="7"/>
        </xdr:cNvCxnSpPr>
      </xdr:nvCxnSpPr>
      <xdr:spPr>
        <a:xfrm flipV="1">
          <a:off x="5031571" y="4429699"/>
          <a:ext cx="183080" cy="3399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234109</xdr:colOff>
      <xdr:row>24</xdr:row>
      <xdr:rowOff>22952</xdr:rowOff>
    </xdr:from>
    <xdr:to>
      <xdr:col>11</xdr:col>
      <xdr:colOff>362856</xdr:colOff>
      <xdr:row>24</xdr:row>
      <xdr:rowOff>30657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261CD25D-DA4B-46F6-82C3-25B6FB8BAB7F}"/>
            </a:ext>
          </a:extLst>
        </xdr:cNvPr>
        <xdr:cNvCxnSpPr>
          <a:cxnSpLocks/>
        </xdr:cNvCxnSpPr>
      </xdr:nvCxnSpPr>
      <xdr:spPr>
        <a:xfrm>
          <a:off x="5214651" y="4429699"/>
          <a:ext cx="1960301" cy="77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32625</xdr:colOff>
      <xdr:row>27</xdr:row>
      <xdr:rowOff>163714</xdr:rowOff>
    </xdr:from>
    <xdr:to>
      <xdr:col>8</xdr:col>
      <xdr:colOff>302964</xdr:colOff>
      <xdr:row>29</xdr:row>
      <xdr:rowOff>165253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5FC29BD4-A2A8-4F95-8C47-8ADC26791156}"/>
            </a:ext>
          </a:extLst>
        </xdr:cNvPr>
        <xdr:cNvCxnSpPr/>
      </xdr:nvCxnSpPr>
      <xdr:spPr>
        <a:xfrm>
          <a:off x="5013167" y="5121304"/>
          <a:ext cx="270339" cy="3687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312145</xdr:colOff>
      <xdr:row>29</xdr:row>
      <xdr:rowOff>174434</xdr:rowOff>
    </xdr:from>
    <xdr:to>
      <xdr:col>11</xdr:col>
      <xdr:colOff>403952</xdr:colOff>
      <xdr:row>30</xdr:row>
      <xdr:rowOff>9180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78F75415-229A-4489-B73F-9BE92D548CF4}"/>
            </a:ext>
          </a:extLst>
        </xdr:cNvPr>
        <xdr:cNvCxnSpPr/>
      </xdr:nvCxnSpPr>
      <xdr:spPr>
        <a:xfrm>
          <a:off x="5292687" y="5499253"/>
          <a:ext cx="1923361" cy="183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120953</xdr:colOff>
      <xdr:row>26</xdr:row>
      <xdr:rowOff>157239</xdr:rowOff>
    </xdr:from>
    <xdr:to>
      <xdr:col>11</xdr:col>
      <xdr:colOff>381002</xdr:colOff>
      <xdr:row>26</xdr:row>
      <xdr:rowOff>178405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D582DEE9-7807-45A8-9B0A-2482E272DB48}"/>
            </a:ext>
          </a:extLst>
        </xdr:cNvPr>
        <xdr:cNvCxnSpPr>
          <a:cxnSpLocks/>
          <a:stCxn id="109" idx="6"/>
        </xdr:cNvCxnSpPr>
      </xdr:nvCxnSpPr>
      <xdr:spPr>
        <a:xfrm>
          <a:off x="5104191" y="4874382"/>
          <a:ext cx="2092478" cy="211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413134</xdr:colOff>
      <xdr:row>29</xdr:row>
      <xdr:rowOff>64264</xdr:rowOff>
    </xdr:from>
    <xdr:to>
      <xdr:col>12</xdr:col>
      <xdr:colOff>18366</xdr:colOff>
      <xdr:row>30</xdr:row>
      <xdr:rowOff>140078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2B0688F2-5299-4124-883C-059972033569}"/>
            </a:ext>
          </a:extLst>
        </xdr:cNvPr>
        <xdr:cNvSpPr/>
      </xdr:nvSpPr>
      <xdr:spPr>
        <a:xfrm rot="16200000">
          <a:off x="7203390" y="5410923"/>
          <a:ext cx="259429" cy="2157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367230</xdr:colOff>
      <xdr:row>26</xdr:row>
      <xdr:rowOff>45904</xdr:rowOff>
    </xdr:from>
    <xdr:to>
      <xdr:col>11</xdr:col>
      <xdr:colOff>582980</xdr:colOff>
      <xdr:row>27</xdr:row>
      <xdr:rowOff>121719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33E6E704-682B-4C45-B6C4-40EB5B71D4AC}"/>
            </a:ext>
          </a:extLst>
        </xdr:cNvPr>
        <xdr:cNvSpPr/>
      </xdr:nvSpPr>
      <xdr:spPr>
        <a:xfrm rot="16200000">
          <a:off x="7157486" y="4841720"/>
          <a:ext cx="259429" cy="2157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358049</xdr:colOff>
      <xdr:row>23</xdr:row>
      <xdr:rowOff>82627</xdr:rowOff>
    </xdr:from>
    <xdr:to>
      <xdr:col>11</xdr:col>
      <xdr:colOff>573799</xdr:colOff>
      <xdr:row>24</xdr:row>
      <xdr:rowOff>158442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26CEE1CF-2E6B-42EC-8F14-7C7A76F568A6}"/>
            </a:ext>
          </a:extLst>
        </xdr:cNvPr>
        <xdr:cNvSpPr/>
      </xdr:nvSpPr>
      <xdr:spPr>
        <a:xfrm rot="16200000">
          <a:off x="7148305" y="4327600"/>
          <a:ext cx="259429" cy="2157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339689</xdr:colOff>
      <xdr:row>19</xdr:row>
      <xdr:rowOff>18361</xdr:rowOff>
    </xdr:from>
    <xdr:to>
      <xdr:col>11</xdr:col>
      <xdr:colOff>555439</xdr:colOff>
      <xdr:row>20</xdr:row>
      <xdr:rowOff>94176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B02EB4E3-6E82-40A9-AD82-F780A0633F3E}"/>
            </a:ext>
          </a:extLst>
        </xdr:cNvPr>
        <xdr:cNvSpPr/>
      </xdr:nvSpPr>
      <xdr:spPr>
        <a:xfrm rot="16200000">
          <a:off x="7129945" y="3528876"/>
          <a:ext cx="259429" cy="2157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329938</xdr:colOff>
      <xdr:row>16</xdr:row>
      <xdr:rowOff>102123</xdr:rowOff>
    </xdr:from>
    <xdr:to>
      <xdr:col>11</xdr:col>
      <xdr:colOff>545688</xdr:colOff>
      <xdr:row>17</xdr:row>
      <xdr:rowOff>177937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EBA58E08-2A5D-4193-97AE-AA4BF1EAE306}"/>
            </a:ext>
          </a:extLst>
        </xdr:cNvPr>
        <xdr:cNvSpPr/>
      </xdr:nvSpPr>
      <xdr:spPr>
        <a:xfrm rot="16200000">
          <a:off x="7246123" y="3013382"/>
          <a:ext cx="256494" cy="21575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337794</xdr:colOff>
      <xdr:row>13</xdr:row>
      <xdr:rowOff>94269</xdr:rowOff>
    </xdr:from>
    <xdr:to>
      <xdr:col>11</xdr:col>
      <xdr:colOff>555768</xdr:colOff>
      <xdr:row>14</xdr:row>
      <xdr:rowOff>170082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CB726E0A-3632-4E37-A510-ADE6FCE1F66A}"/>
            </a:ext>
          </a:extLst>
        </xdr:cNvPr>
        <xdr:cNvSpPr/>
      </xdr:nvSpPr>
      <xdr:spPr>
        <a:xfrm rot="16200000">
          <a:off x="7152967" y="2462374"/>
          <a:ext cx="256494" cy="217974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408495</xdr:colOff>
      <xdr:row>9</xdr:row>
      <xdr:rowOff>54990</xdr:rowOff>
    </xdr:from>
    <xdr:to>
      <xdr:col>12</xdr:col>
      <xdr:colOff>13727</xdr:colOff>
      <xdr:row>10</xdr:row>
      <xdr:rowOff>130804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378DA813-A049-479A-8DE9-3D80475A955D}"/>
            </a:ext>
          </a:extLst>
        </xdr:cNvPr>
        <xdr:cNvSpPr/>
      </xdr:nvSpPr>
      <xdr:spPr>
        <a:xfrm rot="16200000">
          <a:off x="7223668" y="1700374"/>
          <a:ext cx="256494" cy="217974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408495</xdr:colOff>
      <xdr:row>7</xdr:row>
      <xdr:rowOff>23566</xdr:rowOff>
    </xdr:from>
    <xdr:to>
      <xdr:col>12</xdr:col>
      <xdr:colOff>13727</xdr:colOff>
      <xdr:row>8</xdr:row>
      <xdr:rowOff>99380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BC85512F-7ED4-4330-AD02-D673942362CE}"/>
            </a:ext>
          </a:extLst>
        </xdr:cNvPr>
        <xdr:cNvSpPr/>
      </xdr:nvSpPr>
      <xdr:spPr>
        <a:xfrm rot="16200000">
          <a:off x="7223668" y="1307589"/>
          <a:ext cx="256494" cy="217974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408496</xdr:colOff>
      <xdr:row>4</xdr:row>
      <xdr:rowOff>54989</xdr:rowOff>
    </xdr:from>
    <xdr:to>
      <xdr:col>12</xdr:col>
      <xdr:colOff>13728</xdr:colOff>
      <xdr:row>5</xdr:row>
      <xdr:rowOff>130803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0C46EAB-A950-47FE-B760-51A12EEF426E}"/>
            </a:ext>
          </a:extLst>
        </xdr:cNvPr>
        <xdr:cNvSpPr/>
      </xdr:nvSpPr>
      <xdr:spPr>
        <a:xfrm rot="16200000">
          <a:off x="7223669" y="796971"/>
          <a:ext cx="256494" cy="217974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DC6F-7991-4928-9B01-AAD3257DAD6B}">
  <dimension ref="B5:P30"/>
  <sheetViews>
    <sheetView topLeftCell="A4" zoomScale="97" workbookViewId="0">
      <selection activeCell="B18" sqref="B18"/>
    </sheetView>
  </sheetViews>
  <sheetFormatPr defaultRowHeight="14.4" x14ac:dyDescent="0.3"/>
  <cols>
    <col min="2" max="2" width="21.6640625" bestFit="1" customWidth="1"/>
    <col min="7" max="7" width="11.77734375" bestFit="1" customWidth="1"/>
    <col min="15" max="15" width="13.33203125" bestFit="1" customWidth="1"/>
    <col min="16" max="16" width="22" bestFit="1" customWidth="1"/>
  </cols>
  <sheetData>
    <row r="5" spans="7:16" x14ac:dyDescent="0.3">
      <c r="J5" t="s">
        <v>1</v>
      </c>
      <c r="M5">
        <v>61134</v>
      </c>
    </row>
    <row r="6" spans="7:16" x14ac:dyDescent="0.3">
      <c r="P6" t="s">
        <v>9</v>
      </c>
    </row>
    <row r="7" spans="7:16" x14ac:dyDescent="0.3">
      <c r="G7" t="s">
        <v>0</v>
      </c>
      <c r="J7" t="s">
        <v>3</v>
      </c>
      <c r="O7" t="s">
        <v>10</v>
      </c>
      <c r="P7">
        <f>M5*0.6</f>
        <v>36680.400000000001</v>
      </c>
    </row>
    <row r="8" spans="7:16" x14ac:dyDescent="0.3">
      <c r="M8">
        <v>46443</v>
      </c>
      <c r="P8">
        <f>M8*0.3</f>
        <v>13932.9</v>
      </c>
    </row>
    <row r="9" spans="7:16" x14ac:dyDescent="0.3">
      <c r="G9" s="2">
        <f>P10</f>
        <v>54629.4</v>
      </c>
      <c r="P9">
        <f>M10*0.1</f>
        <v>4016.1000000000004</v>
      </c>
    </row>
    <row r="10" spans="7:16" x14ac:dyDescent="0.3">
      <c r="J10" t="s">
        <v>6</v>
      </c>
      <c r="M10">
        <v>40161</v>
      </c>
      <c r="P10" s="2">
        <f>SUM(P7:P9)</f>
        <v>54629.4</v>
      </c>
    </row>
    <row r="14" spans="7:16" x14ac:dyDescent="0.3">
      <c r="J14" t="s">
        <v>5</v>
      </c>
      <c r="O14" t="s">
        <v>11</v>
      </c>
      <c r="P14" t="s">
        <v>9</v>
      </c>
    </row>
    <row r="15" spans="7:16" x14ac:dyDescent="0.3">
      <c r="M15">
        <v>56901</v>
      </c>
      <c r="P15">
        <f>M15*0.6</f>
        <v>34140.6</v>
      </c>
    </row>
    <row r="16" spans="7:16" x14ac:dyDescent="0.3">
      <c r="G16" t="s">
        <v>12</v>
      </c>
      <c r="P16">
        <f>M18*0.3</f>
        <v>15322.5</v>
      </c>
    </row>
    <row r="17" spans="2:16" x14ac:dyDescent="0.3">
      <c r="B17" t="s">
        <v>16</v>
      </c>
      <c r="F17" t="s">
        <v>4</v>
      </c>
      <c r="J17" t="s">
        <v>3</v>
      </c>
      <c r="P17">
        <f>M20*0.1</f>
        <v>4672.1000000000004</v>
      </c>
    </row>
    <row r="18" spans="2:16" x14ac:dyDescent="0.3">
      <c r="G18" s="2">
        <f>P18</f>
        <v>54135.199999999997</v>
      </c>
      <c r="M18">
        <v>51075</v>
      </c>
      <c r="P18" s="2">
        <f>SUM(P15:P17)</f>
        <v>54135.199999999997</v>
      </c>
    </row>
    <row r="20" spans="2:16" x14ac:dyDescent="0.3">
      <c r="B20" t="s">
        <v>15</v>
      </c>
      <c r="D20" s="3">
        <f>MIN(G9,G18,G28)</f>
        <v>54135.199999999997</v>
      </c>
      <c r="M20">
        <v>46721</v>
      </c>
    </row>
    <row r="21" spans="2:16" x14ac:dyDescent="0.3">
      <c r="J21" t="s">
        <v>2</v>
      </c>
    </row>
    <row r="24" spans="2:16" x14ac:dyDescent="0.3">
      <c r="J24" t="s">
        <v>7</v>
      </c>
      <c r="M24">
        <v>54658</v>
      </c>
      <c r="O24" t="s">
        <v>14</v>
      </c>
      <c r="P24" t="s">
        <v>9</v>
      </c>
    </row>
    <row r="25" spans="2:16" x14ac:dyDescent="0.3">
      <c r="P25">
        <f>M24*0.6</f>
        <v>32794.799999999996</v>
      </c>
    </row>
    <row r="26" spans="2:16" x14ac:dyDescent="0.3">
      <c r="G26" t="s">
        <v>13</v>
      </c>
      <c r="P26">
        <f>M27*0.3</f>
        <v>16397.399999999998</v>
      </c>
    </row>
    <row r="27" spans="2:16" x14ac:dyDescent="0.3">
      <c r="J27" t="s">
        <v>8</v>
      </c>
      <c r="M27">
        <v>54658</v>
      </c>
      <c r="P27">
        <f>M30*0.1</f>
        <v>5465.8</v>
      </c>
    </row>
    <row r="28" spans="2:16" x14ac:dyDescent="0.3">
      <c r="G28" s="1">
        <f>P28</f>
        <v>54658</v>
      </c>
      <c r="P28" s="1">
        <f>SUM(P25:P27)</f>
        <v>54658</v>
      </c>
    </row>
    <row r="30" spans="2:16" x14ac:dyDescent="0.3">
      <c r="J30" t="s">
        <v>2</v>
      </c>
      <c r="M30">
        <v>54658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C88B-5369-49B9-9E71-9DE558B4CEE3}">
  <dimension ref="A1"/>
  <sheetViews>
    <sheetView tabSelected="1" zoomScale="130" workbookViewId="0">
      <selection activeCell="C8" sqref="C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mirani</dc:creator>
  <cp:lastModifiedBy>sneha mirani</cp:lastModifiedBy>
  <dcterms:created xsi:type="dcterms:W3CDTF">2026-04-02T12:34:57Z</dcterms:created>
  <dcterms:modified xsi:type="dcterms:W3CDTF">2026-04-02T13:04:13Z</dcterms:modified>
</cp:coreProperties>
</file>