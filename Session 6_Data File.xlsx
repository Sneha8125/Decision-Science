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e9b4a124cc33975/Documents/"/>
    </mc:Choice>
  </mc:AlternateContent>
  <xr:revisionPtr revIDLastSave="253" documentId="8_{3FF2B923-D394-4D5B-8402-92883823AA9E}" xr6:coauthVersionLast="47" xr6:coauthVersionMax="47" xr10:uidLastSave="{B671B62F-33F4-4B8C-8692-587873AD2785}"/>
  <bookViews>
    <workbookView xWindow="-108" yWindow="-108" windowWidth="23256" windowHeight="12456" xr2:uid="{00000000-000D-0000-FFFF-FFFF00000000}"/>
  </bookViews>
  <sheets>
    <sheet name="Ex 9.8_9.9_9.10_pg 364 &amp; 365" sheetId="1" r:id="rId1"/>
    <sheet name="Sheet1" sheetId="3" r:id="rId2"/>
    <sheet name="ex 10 pg 38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4" i="3"/>
  <c r="J5" i="3"/>
  <c r="J6" i="3"/>
  <c r="J7" i="3"/>
  <c r="J8" i="3"/>
  <c r="J9" i="3"/>
  <c r="J10" i="3"/>
  <c r="J11" i="3"/>
  <c r="J12" i="3"/>
  <c r="J13" i="3" s="1"/>
  <c r="J14" i="3" s="1"/>
  <c r="J15" i="3" s="1"/>
  <c r="J16" i="3" s="1"/>
  <c r="J17" i="3" s="1"/>
  <c r="J18" i="3" s="1"/>
  <c r="J19" i="3" s="1"/>
  <c r="J4" i="3"/>
  <c r="I5" i="3"/>
  <c r="I6" i="3"/>
  <c r="I7" i="3"/>
  <c r="I8" i="3"/>
  <c r="I9" i="3"/>
  <c r="I10" i="3"/>
  <c r="I11" i="3"/>
  <c r="I12" i="3"/>
  <c r="I13" i="3" s="1"/>
  <c r="I14" i="3" s="1"/>
  <c r="I15" i="3" s="1"/>
  <c r="I16" i="3" s="1"/>
  <c r="I17" i="3" s="1"/>
  <c r="I18" i="3" s="1"/>
  <c r="I19" i="3" s="1"/>
  <c r="I4" i="3"/>
  <c r="H5" i="3"/>
  <c r="H6" i="3"/>
  <c r="H7" i="3"/>
  <c r="H8" i="3"/>
  <c r="H9" i="3"/>
  <c r="H10" i="3"/>
  <c r="H11" i="3"/>
  <c r="H12" i="3"/>
  <c r="H13" i="3" s="1"/>
  <c r="H14" i="3" s="1"/>
  <c r="H15" i="3" s="1"/>
  <c r="H16" i="3" s="1"/>
  <c r="H17" i="3" s="1"/>
  <c r="H18" i="3" s="1"/>
  <c r="H19" i="3" s="1"/>
  <c r="H4" i="3"/>
  <c r="G5" i="3"/>
  <c r="G6" i="3"/>
  <c r="G7" i="3"/>
  <c r="G8" i="3"/>
  <c r="G9" i="3"/>
  <c r="G10" i="3"/>
  <c r="G11" i="3"/>
  <c r="G12" i="3"/>
  <c r="G13" i="3" s="1"/>
  <c r="G14" i="3" s="1"/>
  <c r="G15" i="3" s="1"/>
  <c r="G16" i="3" s="1"/>
  <c r="G17" i="3" s="1"/>
  <c r="G18" i="3" s="1"/>
  <c r="G19" i="3" s="1"/>
  <c r="G4" i="3"/>
  <c r="F5" i="3"/>
  <c r="F6" i="3"/>
  <c r="F7" i="3"/>
  <c r="F8" i="3"/>
  <c r="F9" i="3"/>
  <c r="F10" i="3"/>
  <c r="F11" i="3"/>
  <c r="F12" i="3"/>
  <c r="F13" i="3" s="1"/>
  <c r="F14" i="3" s="1"/>
  <c r="F15" i="3" s="1"/>
  <c r="F16" i="3" s="1"/>
  <c r="F17" i="3" s="1"/>
  <c r="F18" i="3" s="1"/>
  <c r="F19" i="3" s="1"/>
  <c r="F4" i="3"/>
  <c r="E5" i="3"/>
  <c r="E6" i="3"/>
  <c r="E7" i="3"/>
  <c r="E8" i="3"/>
  <c r="E9" i="3"/>
  <c r="E10" i="3"/>
  <c r="E11" i="3"/>
  <c r="E12" i="3"/>
  <c r="E13" i="3" s="1"/>
  <c r="E14" i="3" s="1"/>
  <c r="E15" i="3" s="1"/>
  <c r="E16" i="3" s="1"/>
  <c r="E17" i="3" s="1"/>
  <c r="E18" i="3" s="1"/>
  <c r="E19" i="3" s="1"/>
  <c r="E4" i="3"/>
  <c r="D4" i="3"/>
  <c r="D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4" i="3"/>
  <c r="O24" i="1"/>
  <c r="O23" i="1"/>
  <c r="O22" i="1"/>
  <c r="K24" i="1"/>
  <c r="K23" i="1"/>
  <c r="K22" i="1"/>
  <c r="L9" i="1"/>
  <c r="L10" i="1"/>
  <c r="L11" i="1"/>
  <c r="L12" i="1"/>
  <c r="L13" i="1"/>
  <c r="L14" i="1"/>
  <c r="L15" i="1"/>
  <c r="L16" i="1"/>
  <c r="L17" i="1"/>
  <c r="L18" i="1"/>
  <c r="L19" i="1"/>
  <c r="L20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8" i="1"/>
  <c r="J12" i="1"/>
  <c r="J13" i="1"/>
  <c r="J14" i="1"/>
  <c r="J15" i="1"/>
  <c r="J16" i="1"/>
  <c r="J17" i="1"/>
  <c r="J18" i="1"/>
  <c r="J19" i="1"/>
  <c r="J20" i="1"/>
  <c r="I12" i="1"/>
  <c r="I13" i="1"/>
  <c r="I14" i="1"/>
  <c r="I15" i="1"/>
  <c r="I16" i="1"/>
  <c r="I17" i="1"/>
  <c r="I18" i="1"/>
  <c r="I19" i="1"/>
  <c r="I20" i="1"/>
  <c r="I8" i="1"/>
  <c r="J8" i="1" s="1"/>
  <c r="G11" i="1"/>
  <c r="G12" i="1"/>
  <c r="G18" i="1"/>
  <c r="G19" i="1"/>
  <c r="G20" i="1"/>
  <c r="N7" i="1"/>
  <c r="P7" i="1" s="1"/>
  <c r="N13" i="1"/>
  <c r="O13" i="1" s="1"/>
  <c r="Q13" i="1" s="1"/>
  <c r="N15" i="1"/>
  <c r="P15" i="1" s="1"/>
  <c r="N21" i="1"/>
  <c r="O21" i="1" s="1"/>
  <c r="M6" i="1"/>
  <c r="N6" i="1" s="1"/>
  <c r="M7" i="1"/>
  <c r="M8" i="1"/>
  <c r="N8" i="1" s="1"/>
  <c r="M9" i="1"/>
  <c r="N9" i="1" s="1"/>
  <c r="M10" i="1"/>
  <c r="N10" i="1" s="1"/>
  <c r="M11" i="1"/>
  <c r="N11" i="1" s="1"/>
  <c r="M12" i="1"/>
  <c r="N12" i="1" s="1"/>
  <c r="M13" i="1"/>
  <c r="M14" i="1"/>
  <c r="N14" i="1" s="1"/>
  <c r="M15" i="1"/>
  <c r="M16" i="1"/>
  <c r="N16" i="1" s="1"/>
  <c r="M17" i="1"/>
  <c r="N17" i="1" s="1"/>
  <c r="M18" i="1"/>
  <c r="N18" i="1" s="1"/>
  <c r="M19" i="1"/>
  <c r="N19" i="1" s="1"/>
  <c r="M20" i="1"/>
  <c r="N20" i="1" s="1"/>
  <c r="M21" i="1"/>
  <c r="H8" i="1"/>
  <c r="H9" i="1"/>
  <c r="I9" i="1" s="1"/>
  <c r="J9" i="1" s="1"/>
  <c r="H10" i="1"/>
  <c r="I10" i="1" s="1"/>
  <c r="J10" i="1" s="1"/>
  <c r="H11" i="1"/>
  <c r="I11" i="1" s="1"/>
  <c r="J11" i="1" s="1"/>
  <c r="H12" i="1"/>
  <c r="H13" i="1"/>
  <c r="H14" i="1"/>
  <c r="H15" i="1"/>
  <c r="H16" i="1"/>
  <c r="H17" i="1"/>
  <c r="H18" i="1"/>
  <c r="H19" i="1"/>
  <c r="H20" i="1"/>
  <c r="H21" i="1"/>
  <c r="C7" i="1"/>
  <c r="D7" i="1" s="1"/>
  <c r="E7" i="1" s="1"/>
  <c r="G7" i="1" s="1"/>
  <c r="C8" i="1"/>
  <c r="D8" i="1" s="1"/>
  <c r="E8" i="1" s="1"/>
  <c r="G8" i="1" s="1"/>
  <c r="C9" i="1"/>
  <c r="D9" i="1" s="1"/>
  <c r="E9" i="1" s="1"/>
  <c r="G9" i="1" s="1"/>
  <c r="C10" i="1"/>
  <c r="D10" i="1" s="1"/>
  <c r="E10" i="1" s="1"/>
  <c r="G10" i="1" s="1"/>
  <c r="C11" i="1"/>
  <c r="D11" i="1" s="1"/>
  <c r="E11" i="1" s="1"/>
  <c r="F11" i="1" s="1"/>
  <c r="C12" i="1"/>
  <c r="D12" i="1" s="1"/>
  <c r="E12" i="1" s="1"/>
  <c r="C13" i="1"/>
  <c r="D13" i="1" s="1"/>
  <c r="E13" i="1" s="1"/>
  <c r="F13" i="1" s="1"/>
  <c r="C14" i="1"/>
  <c r="D14" i="1" s="1"/>
  <c r="E14" i="1" s="1"/>
  <c r="F14" i="1" s="1"/>
  <c r="C15" i="1"/>
  <c r="D15" i="1" s="1"/>
  <c r="E15" i="1" s="1"/>
  <c r="F15" i="1" s="1"/>
  <c r="C16" i="1"/>
  <c r="D16" i="1" s="1"/>
  <c r="E16" i="1" s="1"/>
  <c r="G16" i="1" s="1"/>
  <c r="C17" i="1"/>
  <c r="D17" i="1" s="1"/>
  <c r="E17" i="1" s="1"/>
  <c r="G17" i="1" s="1"/>
  <c r="C18" i="1"/>
  <c r="D18" i="1" s="1"/>
  <c r="E18" i="1" s="1"/>
  <c r="C19" i="1"/>
  <c r="D19" i="1" s="1"/>
  <c r="E19" i="1" s="1"/>
  <c r="F19" i="1" s="1"/>
  <c r="C20" i="1"/>
  <c r="D20" i="1" s="1"/>
  <c r="E20" i="1" s="1"/>
  <c r="C21" i="1"/>
  <c r="D21" i="1" s="1"/>
  <c r="E21" i="1" s="1"/>
  <c r="P14" i="1" l="1"/>
  <c r="O14" i="1"/>
  <c r="Q14" i="1" s="1"/>
  <c r="P19" i="1"/>
  <c r="O19" i="1"/>
  <c r="Q19" i="1" s="1"/>
  <c r="O11" i="1"/>
  <c r="Q11" i="1" s="1"/>
  <c r="P11" i="1"/>
  <c r="P18" i="1"/>
  <c r="O18" i="1"/>
  <c r="Q18" i="1" s="1"/>
  <c r="P10" i="1"/>
  <c r="O10" i="1"/>
  <c r="Q10" i="1" s="1"/>
  <c r="P17" i="1"/>
  <c r="O17" i="1"/>
  <c r="Q17" i="1" s="1"/>
  <c r="P9" i="1"/>
  <c r="O9" i="1"/>
  <c r="Q9" i="1" s="1"/>
  <c r="P16" i="1"/>
  <c r="O16" i="1"/>
  <c r="Q16" i="1" s="1"/>
  <c r="P8" i="1"/>
  <c r="O8" i="1"/>
  <c r="Q8" i="1" s="1"/>
  <c r="P6" i="1"/>
  <c r="O6" i="1"/>
  <c r="Q6" i="1" s="1"/>
  <c r="P20" i="1"/>
  <c r="O20" i="1"/>
  <c r="Q20" i="1" s="1"/>
  <c r="O12" i="1"/>
  <c r="Q12" i="1" s="1"/>
  <c r="P12" i="1"/>
  <c r="P21" i="1"/>
  <c r="P13" i="1"/>
  <c r="G15" i="1"/>
  <c r="O15" i="1"/>
  <c r="Q15" i="1" s="1"/>
  <c r="O7" i="1"/>
  <c r="Q7" i="1" s="1"/>
  <c r="G14" i="1"/>
  <c r="G13" i="1"/>
  <c r="F7" i="1"/>
  <c r="F18" i="1"/>
  <c r="F20" i="1"/>
  <c r="F10" i="1"/>
  <c r="F12" i="1"/>
  <c r="F17" i="1"/>
  <c r="F9" i="1"/>
  <c r="F8" i="1"/>
  <c r="F23" i="1"/>
  <c r="F16" i="1"/>
  <c r="F24" i="1" l="1"/>
  <c r="F25" i="1"/>
</calcChain>
</file>

<file path=xl/sharedStrings.xml><?xml version="1.0" encoding="utf-8"?>
<sst xmlns="http://schemas.openxmlformats.org/spreadsheetml/2006/main" count="35" uniqueCount="20">
  <si>
    <t>Tablet Computer Sales</t>
  </si>
  <si>
    <t>Week</t>
  </si>
  <si>
    <t>Unit Solds</t>
  </si>
  <si>
    <t>Date</t>
  </si>
  <si>
    <t>Passengers</t>
  </si>
  <si>
    <t>Moving Average (K=3)</t>
  </si>
  <si>
    <t xml:space="preserve">Moving Average (K=4) </t>
  </si>
  <si>
    <t xml:space="preserve">Error </t>
  </si>
  <si>
    <t xml:space="preserve">Squared Error </t>
  </si>
  <si>
    <t xml:space="preserve">Absolute Percentage Error </t>
  </si>
  <si>
    <t>MAD</t>
  </si>
  <si>
    <t xml:space="preserve">MSE </t>
  </si>
  <si>
    <t>MAPE</t>
  </si>
  <si>
    <t xml:space="preserve">Absolute Deviation </t>
  </si>
  <si>
    <t xml:space="preserve">K=3 </t>
  </si>
  <si>
    <t>K=2</t>
  </si>
  <si>
    <t>Moving Average (K=2)</t>
  </si>
  <si>
    <t>K=4</t>
  </si>
  <si>
    <t>MSE</t>
  </si>
  <si>
    <t xml:space="preserve">Alpha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</si>
</sst>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3" fontId="3" fillId="0" borderId="0" xfId="0" applyNumberFormat="1" applyFont="1"/>
    <xf numFmtId="17" fontId="3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9A86377F-88C3-4E7B-B23A-358C8371A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 9.8_9.9_9.10_pg 364 &amp; 365'!$B$4:$B$20</c:f>
              <c:numCache>
                <c:formatCode>General</c:formatCode>
                <c:ptCount val="17"/>
                <c:pt idx="0">
                  <c:v>88</c:v>
                </c:pt>
                <c:pt idx="1">
                  <c:v>44</c:v>
                </c:pt>
                <c:pt idx="2">
                  <c:v>60</c:v>
                </c:pt>
                <c:pt idx="3">
                  <c:v>56</c:v>
                </c:pt>
                <c:pt idx="4">
                  <c:v>70</c:v>
                </c:pt>
                <c:pt idx="5">
                  <c:v>91</c:v>
                </c:pt>
                <c:pt idx="6">
                  <c:v>54</c:v>
                </c:pt>
                <c:pt idx="7">
                  <c:v>60</c:v>
                </c:pt>
                <c:pt idx="8">
                  <c:v>48</c:v>
                </c:pt>
                <c:pt idx="9">
                  <c:v>35</c:v>
                </c:pt>
                <c:pt idx="10">
                  <c:v>49</c:v>
                </c:pt>
                <c:pt idx="11">
                  <c:v>44</c:v>
                </c:pt>
                <c:pt idx="12">
                  <c:v>61</c:v>
                </c:pt>
                <c:pt idx="13">
                  <c:v>68</c:v>
                </c:pt>
                <c:pt idx="14">
                  <c:v>82</c:v>
                </c:pt>
                <c:pt idx="15">
                  <c:v>71</c:v>
                </c:pt>
                <c:pt idx="1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7-4FF3-9929-D2E27B6C6FBE}"/>
            </c:ext>
          </c:extLst>
        </c:ser>
        <c:ser>
          <c:idx val="1"/>
          <c:order val="1"/>
          <c:tx>
            <c:v>Forecast</c:v>
          </c:tx>
          <c:val>
            <c:numRef>
              <c:f>'Ex 9.8_9.9_9.10_pg 364 &amp; 365'!$C$5:$C$21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64</c:v>
                </c:pt>
                <c:pt idx="3">
                  <c:v>53.333333333333336</c:v>
                </c:pt>
                <c:pt idx="4">
                  <c:v>62</c:v>
                </c:pt>
                <c:pt idx="5">
                  <c:v>72.333333333333329</c:v>
                </c:pt>
                <c:pt idx="6">
                  <c:v>71.666666666666671</c:v>
                </c:pt>
                <c:pt idx="7">
                  <c:v>68.333333333333329</c:v>
                </c:pt>
                <c:pt idx="8">
                  <c:v>54</c:v>
                </c:pt>
                <c:pt idx="9">
                  <c:v>47.666666666666664</c:v>
                </c:pt>
                <c:pt idx="10">
                  <c:v>44</c:v>
                </c:pt>
                <c:pt idx="11">
                  <c:v>42.666666666666664</c:v>
                </c:pt>
                <c:pt idx="12">
                  <c:v>51.333333333333336</c:v>
                </c:pt>
                <c:pt idx="13">
                  <c:v>57.666666666666664</c:v>
                </c:pt>
                <c:pt idx="14">
                  <c:v>70.333333333333329</c:v>
                </c:pt>
                <c:pt idx="15">
                  <c:v>73.666666666666671</c:v>
                </c:pt>
                <c:pt idx="16">
                  <c:v>67.666666666666671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7-4FF3-9929-D2E27B6C6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12799"/>
        <c:axId val="199513279"/>
      </c:lineChart>
      <c:catAx>
        <c:axId val="19951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513279"/>
        <c:crosses val="autoZero"/>
        <c:auto val="1"/>
        <c:lblAlgn val="ctr"/>
        <c:lblOffset val="100"/>
        <c:noMultiLvlLbl val="0"/>
      </c:catAx>
      <c:valAx>
        <c:axId val="199513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127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 9.8_9.9_9.10_pg 364 &amp; 365'!$B$4:$B$20</c:f>
              <c:numCache>
                <c:formatCode>General</c:formatCode>
                <c:ptCount val="17"/>
                <c:pt idx="0">
                  <c:v>88</c:v>
                </c:pt>
                <c:pt idx="1">
                  <c:v>44</c:v>
                </c:pt>
                <c:pt idx="2">
                  <c:v>60</c:v>
                </c:pt>
                <c:pt idx="3">
                  <c:v>56</c:v>
                </c:pt>
                <c:pt idx="4">
                  <c:v>70</c:v>
                </c:pt>
                <c:pt idx="5">
                  <c:v>91</c:v>
                </c:pt>
                <c:pt idx="6">
                  <c:v>54</c:v>
                </c:pt>
                <c:pt idx="7">
                  <c:v>60</c:v>
                </c:pt>
                <c:pt idx="8">
                  <c:v>48</c:v>
                </c:pt>
                <c:pt idx="9">
                  <c:v>35</c:v>
                </c:pt>
                <c:pt idx="10">
                  <c:v>49</c:v>
                </c:pt>
                <c:pt idx="11">
                  <c:v>44</c:v>
                </c:pt>
                <c:pt idx="12">
                  <c:v>61</c:v>
                </c:pt>
                <c:pt idx="13">
                  <c:v>68</c:v>
                </c:pt>
                <c:pt idx="14">
                  <c:v>82</c:v>
                </c:pt>
                <c:pt idx="15">
                  <c:v>71</c:v>
                </c:pt>
                <c:pt idx="1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5-43EC-B726-107BD0006083}"/>
            </c:ext>
          </c:extLst>
        </c:ser>
        <c:ser>
          <c:idx val="1"/>
          <c:order val="1"/>
          <c:tx>
            <c:v>Forecast</c:v>
          </c:tx>
          <c:val>
            <c:numRef>
              <c:f>'Ex 9.8_9.9_9.10_pg 364 &amp; 365'!$H$5:$H$21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62</c:v>
                </c:pt>
                <c:pt idx="4">
                  <c:v>57.5</c:v>
                </c:pt>
                <c:pt idx="5">
                  <c:v>69.25</c:v>
                </c:pt>
                <c:pt idx="6">
                  <c:v>67.75</c:v>
                </c:pt>
                <c:pt idx="7">
                  <c:v>68.75</c:v>
                </c:pt>
                <c:pt idx="8">
                  <c:v>63.25</c:v>
                </c:pt>
                <c:pt idx="9">
                  <c:v>49.25</c:v>
                </c:pt>
                <c:pt idx="10">
                  <c:v>48</c:v>
                </c:pt>
                <c:pt idx="11">
                  <c:v>44</c:v>
                </c:pt>
                <c:pt idx="12">
                  <c:v>47.25</c:v>
                </c:pt>
                <c:pt idx="13">
                  <c:v>55.5</c:v>
                </c:pt>
                <c:pt idx="14">
                  <c:v>63.75</c:v>
                </c:pt>
                <c:pt idx="15">
                  <c:v>70.5</c:v>
                </c:pt>
                <c:pt idx="16">
                  <c:v>67.75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5-43EC-B726-107BD0006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151199"/>
        <c:axId val="256134879"/>
      </c:lineChart>
      <c:catAx>
        <c:axId val="25615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56134879"/>
        <c:crosses val="autoZero"/>
        <c:auto val="1"/>
        <c:lblAlgn val="ctr"/>
        <c:lblOffset val="100"/>
        <c:noMultiLvlLbl val="0"/>
      </c:catAx>
      <c:valAx>
        <c:axId val="256134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61511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 9.8_9.9_9.10_pg 364 &amp; 365'!$B$4:$B$20</c:f>
              <c:numCache>
                <c:formatCode>General</c:formatCode>
                <c:ptCount val="17"/>
                <c:pt idx="0">
                  <c:v>88</c:v>
                </c:pt>
                <c:pt idx="1">
                  <c:v>44</c:v>
                </c:pt>
                <c:pt idx="2">
                  <c:v>60</c:v>
                </c:pt>
                <c:pt idx="3">
                  <c:v>56</c:v>
                </c:pt>
                <c:pt idx="4">
                  <c:v>70</c:v>
                </c:pt>
                <c:pt idx="5">
                  <c:v>91</c:v>
                </c:pt>
                <c:pt idx="6">
                  <c:v>54</c:v>
                </c:pt>
                <c:pt idx="7">
                  <c:v>60</c:v>
                </c:pt>
                <c:pt idx="8">
                  <c:v>48</c:v>
                </c:pt>
                <c:pt idx="9">
                  <c:v>35</c:v>
                </c:pt>
                <c:pt idx="10">
                  <c:v>49</c:v>
                </c:pt>
                <c:pt idx="11">
                  <c:v>44</c:v>
                </c:pt>
                <c:pt idx="12">
                  <c:v>61</c:v>
                </c:pt>
                <c:pt idx="13">
                  <c:v>68</c:v>
                </c:pt>
                <c:pt idx="14">
                  <c:v>82</c:v>
                </c:pt>
                <c:pt idx="15">
                  <c:v>71</c:v>
                </c:pt>
                <c:pt idx="1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2-4D01-91FD-A68C4D7FE520}"/>
            </c:ext>
          </c:extLst>
        </c:ser>
        <c:ser>
          <c:idx val="1"/>
          <c:order val="1"/>
          <c:tx>
            <c:v>Forecast</c:v>
          </c:tx>
          <c:val>
            <c:numRef>
              <c:f>'Ex 9.8_9.9_9.10_pg 364 &amp; 365'!$M$5:$M$21</c:f>
              <c:numCache>
                <c:formatCode>General</c:formatCode>
                <c:ptCount val="17"/>
                <c:pt idx="0">
                  <c:v>#N/A</c:v>
                </c:pt>
                <c:pt idx="1">
                  <c:v>66</c:v>
                </c:pt>
                <c:pt idx="2">
                  <c:v>52</c:v>
                </c:pt>
                <c:pt idx="3">
                  <c:v>58</c:v>
                </c:pt>
                <c:pt idx="4">
                  <c:v>63</c:v>
                </c:pt>
                <c:pt idx="5">
                  <c:v>80.5</c:v>
                </c:pt>
                <c:pt idx="6">
                  <c:v>72.5</c:v>
                </c:pt>
                <c:pt idx="7">
                  <c:v>57</c:v>
                </c:pt>
                <c:pt idx="8">
                  <c:v>54</c:v>
                </c:pt>
                <c:pt idx="9">
                  <c:v>41.5</c:v>
                </c:pt>
                <c:pt idx="10">
                  <c:v>42</c:v>
                </c:pt>
                <c:pt idx="11">
                  <c:v>46.5</c:v>
                </c:pt>
                <c:pt idx="12">
                  <c:v>52.5</c:v>
                </c:pt>
                <c:pt idx="13">
                  <c:v>64.5</c:v>
                </c:pt>
                <c:pt idx="14">
                  <c:v>75</c:v>
                </c:pt>
                <c:pt idx="15">
                  <c:v>76.5</c:v>
                </c:pt>
                <c:pt idx="16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2-4D01-91FD-A68C4D7FE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77167"/>
        <c:axId val="308187247"/>
      </c:lineChart>
      <c:catAx>
        <c:axId val="308177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308187247"/>
        <c:crosses val="autoZero"/>
        <c:auto val="1"/>
        <c:lblAlgn val="ctr"/>
        <c:lblOffset val="100"/>
        <c:noMultiLvlLbl val="0"/>
      </c:catAx>
      <c:valAx>
        <c:axId val="308187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81771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286019</xdr:colOff>
      <xdr:row>27</xdr:row>
      <xdr:rowOff>2205</xdr:rowOff>
    </xdr:from>
    <xdr:to>
      <xdr:col>5</xdr:col>
      <xdr:colOff>262302</xdr:colOff>
      <xdr:row>38</xdr:row>
      <xdr:rowOff>153077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1C4E3D-BEE5-31F7-FF3B-10F6A726E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1124296</xdr:colOff>
      <xdr:row>26</xdr:row>
      <xdr:rowOff>117232</xdr:rowOff>
    </xdr:from>
    <xdr:to>
      <xdr:col>8</xdr:col>
      <xdr:colOff>277091</xdr:colOff>
      <xdr:row>40</xdr:row>
      <xdr:rowOff>23091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D6D31C-AB9B-F025-44FB-746A1FB11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1009319</xdr:colOff>
      <xdr:row>27</xdr:row>
      <xdr:rowOff>36990</xdr:rowOff>
    </xdr:from>
    <xdr:to>
      <xdr:col>16</xdr:col>
      <xdr:colOff>946727</xdr:colOff>
      <xdr:row>39</xdr:row>
      <xdr:rowOff>23091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C54CFB-8D73-EF7F-33D9-D40C419A0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51" workbookViewId="0">
      <selection activeCell="A3" sqref="A3:B21"/>
    </sheetView>
  </sheetViews>
  <sheetFormatPr defaultRowHeight="14.4" x14ac:dyDescent="0.3"/>
  <cols>
    <col min="2" max="2" width="11.5546875" customWidth="1"/>
    <col min="3" max="3" width="21.6640625" customWidth="1"/>
    <col min="4" max="4" width="15.6640625" customWidth="1"/>
    <col min="5" max="6" width="21.6640625" customWidth="1"/>
    <col min="7" max="7" width="26.6640625" customWidth="1"/>
    <col min="8" max="11" width="22.109375" customWidth="1"/>
    <col min="12" max="12" width="26.88671875" customWidth="1"/>
    <col min="13" max="13" width="22.109375" customWidth="1"/>
    <col min="14" max="14" width="18.5546875" customWidth="1"/>
    <col min="15" max="15" width="17.77734375" customWidth="1"/>
    <col min="16" max="16" width="17.6640625" customWidth="1"/>
    <col min="17" max="17" width="22.44140625" customWidth="1"/>
  </cols>
  <sheetData>
    <row r="1" spans="1:17" x14ac:dyDescent="0.3">
      <c r="A1" t="s">
        <v>0</v>
      </c>
    </row>
    <row r="2" spans="1:17" x14ac:dyDescent="0.3">
      <c r="C2" s="7" t="s">
        <v>14</v>
      </c>
      <c r="D2" s="7"/>
      <c r="E2" s="7"/>
      <c r="F2" s="7"/>
      <c r="G2" s="7"/>
      <c r="H2" s="8" t="s">
        <v>17</v>
      </c>
      <c r="I2" s="8"/>
      <c r="J2" s="8"/>
      <c r="K2" s="8"/>
      <c r="L2" s="8"/>
      <c r="M2" s="9" t="s">
        <v>15</v>
      </c>
      <c r="N2" s="9"/>
      <c r="O2" s="9"/>
      <c r="P2" s="9"/>
      <c r="Q2" s="9"/>
    </row>
    <row r="3" spans="1:17" x14ac:dyDescent="0.3">
      <c r="A3" t="s">
        <v>1</v>
      </c>
      <c r="B3" t="s">
        <v>2</v>
      </c>
      <c r="C3" s="4" t="s">
        <v>5</v>
      </c>
      <c r="D3" s="4" t="s">
        <v>7</v>
      </c>
      <c r="E3" s="4" t="s">
        <v>13</v>
      </c>
      <c r="F3" s="4" t="s">
        <v>8</v>
      </c>
      <c r="G3" s="4" t="s">
        <v>9</v>
      </c>
      <c r="H3" s="5" t="s">
        <v>6</v>
      </c>
      <c r="I3" s="5" t="s">
        <v>7</v>
      </c>
      <c r="J3" s="5" t="s">
        <v>13</v>
      </c>
      <c r="K3" s="5" t="s">
        <v>8</v>
      </c>
      <c r="L3" s="5" t="s">
        <v>9</v>
      </c>
      <c r="M3" s="6" t="s">
        <v>16</v>
      </c>
      <c r="N3" s="6" t="s">
        <v>7</v>
      </c>
      <c r="O3" s="6" t="s">
        <v>13</v>
      </c>
      <c r="P3" s="6" t="s">
        <v>8</v>
      </c>
      <c r="Q3" s="6" t="s">
        <v>9</v>
      </c>
    </row>
    <row r="4" spans="1:17" x14ac:dyDescent="0.3">
      <c r="A4">
        <v>1</v>
      </c>
      <c r="B4">
        <v>88</v>
      </c>
    </row>
    <row r="5" spans="1:17" x14ac:dyDescent="0.3">
      <c r="A5">
        <v>2</v>
      </c>
      <c r="B5">
        <v>44</v>
      </c>
      <c r="C5" t="e">
        <v>#N/A</v>
      </c>
      <c r="H5" t="e">
        <v>#N/A</v>
      </c>
      <c r="M5" t="e">
        <v>#N/A</v>
      </c>
    </row>
    <row r="6" spans="1:17" x14ac:dyDescent="0.3">
      <c r="A6">
        <v>3</v>
      </c>
      <c r="B6">
        <v>60</v>
      </c>
      <c r="C6" t="e">
        <v>#N/A</v>
      </c>
      <c r="H6" t="e">
        <v>#N/A</v>
      </c>
      <c r="M6">
        <f t="shared" ref="M6:M21" si="0">AVERAGE(B4:B5)</f>
        <v>66</v>
      </c>
      <c r="N6">
        <f>B6-M6</f>
        <v>-6</v>
      </c>
      <c r="O6">
        <f>ABS(N6)</f>
        <v>6</v>
      </c>
      <c r="P6">
        <f>N6^2</f>
        <v>36</v>
      </c>
      <c r="Q6">
        <f t="shared" ref="Q6:Q20" si="1">(O6/B6)*100</f>
        <v>10</v>
      </c>
    </row>
    <row r="7" spans="1:17" x14ac:dyDescent="0.3">
      <c r="A7">
        <v>4</v>
      </c>
      <c r="B7">
        <v>56</v>
      </c>
      <c r="C7">
        <f t="shared" ref="C7:C21" si="2">AVERAGE(B4:B6)</f>
        <v>64</v>
      </c>
      <c r="D7">
        <f>B7-C7</f>
        <v>-8</v>
      </c>
      <c r="E7">
        <f>ABS(D7)</f>
        <v>8</v>
      </c>
      <c r="F7">
        <f>E7^2</f>
        <v>64</v>
      </c>
      <c r="G7">
        <f>(E7/B7)*100</f>
        <v>14.285714285714285</v>
      </c>
      <c r="H7" t="e">
        <v>#N/A</v>
      </c>
      <c r="M7">
        <f t="shared" si="0"/>
        <v>52</v>
      </c>
      <c r="N7">
        <f t="shared" ref="N7:N21" si="3">B7-M7</f>
        <v>4</v>
      </c>
      <c r="O7">
        <f t="shared" ref="O7:O21" si="4">ABS(N7)</f>
        <v>4</v>
      </c>
      <c r="P7">
        <f t="shared" ref="P7:P21" si="5">N7^2</f>
        <v>16</v>
      </c>
      <c r="Q7">
        <f t="shared" si="1"/>
        <v>7.1428571428571423</v>
      </c>
    </row>
    <row r="8" spans="1:17" x14ac:dyDescent="0.3">
      <c r="A8">
        <v>5</v>
      </c>
      <c r="B8">
        <v>70</v>
      </c>
      <c r="C8">
        <f t="shared" si="2"/>
        <v>53.333333333333336</v>
      </c>
      <c r="D8">
        <f t="shared" ref="D8:D21" si="6">B8-C8</f>
        <v>16.666666666666664</v>
      </c>
      <c r="E8">
        <f t="shared" ref="E8:E21" si="7">ABS(D8)</f>
        <v>16.666666666666664</v>
      </c>
      <c r="F8">
        <f t="shared" ref="F8:F19" si="8">E8^2</f>
        <v>277.77777777777771</v>
      </c>
      <c r="G8">
        <f t="shared" ref="G8:G20" si="9">(E8/B8)*100</f>
        <v>23.809523809523807</v>
      </c>
      <c r="H8">
        <f t="shared" ref="H8:H21" si="10">AVERAGE(B4:B7)</f>
        <v>62</v>
      </c>
      <c r="I8">
        <f>B8-H8</f>
        <v>8</v>
      </c>
      <c r="J8">
        <f>ABS(I8)</f>
        <v>8</v>
      </c>
      <c r="K8">
        <f>I8^2</f>
        <v>64</v>
      </c>
      <c r="L8">
        <f>(J8/B8)*100</f>
        <v>11.428571428571429</v>
      </c>
      <c r="M8">
        <f t="shared" si="0"/>
        <v>58</v>
      </c>
      <c r="N8">
        <f t="shared" si="3"/>
        <v>12</v>
      </c>
      <c r="O8">
        <f t="shared" si="4"/>
        <v>12</v>
      </c>
      <c r="P8">
        <f t="shared" si="5"/>
        <v>144</v>
      </c>
      <c r="Q8">
        <f t="shared" si="1"/>
        <v>17.142857142857142</v>
      </c>
    </row>
    <row r="9" spans="1:17" x14ac:dyDescent="0.3">
      <c r="A9">
        <v>6</v>
      </c>
      <c r="B9">
        <v>91</v>
      </c>
      <c r="C9">
        <f t="shared" si="2"/>
        <v>62</v>
      </c>
      <c r="D9">
        <f t="shared" si="6"/>
        <v>29</v>
      </c>
      <c r="E9">
        <f t="shared" si="7"/>
        <v>29</v>
      </c>
      <c r="F9">
        <f t="shared" si="8"/>
        <v>841</v>
      </c>
      <c r="G9">
        <f t="shared" si="9"/>
        <v>31.868131868131865</v>
      </c>
      <c r="H9">
        <f t="shared" si="10"/>
        <v>57.5</v>
      </c>
      <c r="I9">
        <f t="shared" ref="I9:I20" si="11">B9-H9</f>
        <v>33.5</v>
      </c>
      <c r="J9">
        <f t="shared" ref="J9:J20" si="12">ABS(I9)</f>
        <v>33.5</v>
      </c>
      <c r="K9">
        <f t="shared" ref="K9:K20" si="13">I9^2</f>
        <v>1122.25</v>
      </c>
      <c r="L9">
        <f t="shared" ref="L9:L20" si="14">(J9/B9)*100</f>
        <v>36.813186813186817</v>
      </c>
      <c r="M9">
        <f t="shared" si="0"/>
        <v>63</v>
      </c>
      <c r="N9">
        <f t="shared" si="3"/>
        <v>28</v>
      </c>
      <c r="O9">
        <f t="shared" si="4"/>
        <v>28</v>
      </c>
      <c r="P9">
        <f t="shared" si="5"/>
        <v>784</v>
      </c>
      <c r="Q9">
        <f t="shared" si="1"/>
        <v>30.76923076923077</v>
      </c>
    </row>
    <row r="10" spans="1:17" x14ac:dyDescent="0.3">
      <c r="A10">
        <v>7</v>
      </c>
      <c r="B10">
        <v>54</v>
      </c>
      <c r="C10">
        <f t="shared" si="2"/>
        <v>72.333333333333329</v>
      </c>
      <c r="D10">
        <f t="shared" si="6"/>
        <v>-18.333333333333329</v>
      </c>
      <c r="E10">
        <f t="shared" si="7"/>
        <v>18.333333333333329</v>
      </c>
      <c r="F10">
        <f t="shared" si="8"/>
        <v>336.11111111111092</v>
      </c>
      <c r="G10">
        <f t="shared" si="9"/>
        <v>33.950617283950606</v>
      </c>
      <c r="H10">
        <f t="shared" si="10"/>
        <v>69.25</v>
      </c>
      <c r="I10">
        <f t="shared" si="11"/>
        <v>-15.25</v>
      </c>
      <c r="J10">
        <f t="shared" si="12"/>
        <v>15.25</v>
      </c>
      <c r="K10">
        <f t="shared" si="13"/>
        <v>232.5625</v>
      </c>
      <c r="L10">
        <f t="shared" si="14"/>
        <v>28.240740740740737</v>
      </c>
      <c r="M10">
        <f t="shared" si="0"/>
        <v>80.5</v>
      </c>
      <c r="N10">
        <f t="shared" si="3"/>
        <v>-26.5</v>
      </c>
      <c r="O10">
        <f t="shared" si="4"/>
        <v>26.5</v>
      </c>
      <c r="P10">
        <f t="shared" si="5"/>
        <v>702.25</v>
      </c>
      <c r="Q10">
        <f t="shared" si="1"/>
        <v>49.074074074074076</v>
      </c>
    </row>
    <row r="11" spans="1:17" x14ac:dyDescent="0.3">
      <c r="A11">
        <v>8</v>
      </c>
      <c r="B11">
        <v>60</v>
      </c>
      <c r="C11">
        <f t="shared" si="2"/>
        <v>71.666666666666671</v>
      </c>
      <c r="D11">
        <f t="shared" si="6"/>
        <v>-11.666666666666671</v>
      </c>
      <c r="E11">
        <f t="shared" si="7"/>
        <v>11.666666666666671</v>
      </c>
      <c r="F11">
        <f t="shared" si="8"/>
        <v>136.11111111111123</v>
      </c>
      <c r="G11">
        <f t="shared" si="9"/>
        <v>19.444444444444454</v>
      </c>
      <c r="H11">
        <f t="shared" si="10"/>
        <v>67.75</v>
      </c>
      <c r="I11">
        <f t="shared" si="11"/>
        <v>-7.75</v>
      </c>
      <c r="J11">
        <f t="shared" si="12"/>
        <v>7.75</v>
      </c>
      <c r="K11">
        <f t="shared" si="13"/>
        <v>60.0625</v>
      </c>
      <c r="L11">
        <f t="shared" si="14"/>
        <v>12.916666666666668</v>
      </c>
      <c r="M11">
        <f t="shared" si="0"/>
        <v>72.5</v>
      </c>
      <c r="N11">
        <f t="shared" si="3"/>
        <v>-12.5</v>
      </c>
      <c r="O11">
        <f t="shared" si="4"/>
        <v>12.5</v>
      </c>
      <c r="P11">
        <f t="shared" si="5"/>
        <v>156.25</v>
      </c>
      <c r="Q11">
        <f t="shared" si="1"/>
        <v>20.833333333333336</v>
      </c>
    </row>
    <row r="12" spans="1:17" x14ac:dyDescent="0.3">
      <c r="A12">
        <v>9</v>
      </c>
      <c r="B12">
        <v>48</v>
      </c>
      <c r="C12">
        <f t="shared" si="2"/>
        <v>68.333333333333329</v>
      </c>
      <c r="D12">
        <f t="shared" si="6"/>
        <v>-20.333333333333329</v>
      </c>
      <c r="E12">
        <f t="shared" si="7"/>
        <v>20.333333333333329</v>
      </c>
      <c r="F12">
        <f t="shared" si="8"/>
        <v>413.44444444444423</v>
      </c>
      <c r="G12">
        <f t="shared" si="9"/>
        <v>42.3611111111111</v>
      </c>
      <c r="H12">
        <f t="shared" si="10"/>
        <v>68.75</v>
      </c>
      <c r="I12">
        <f t="shared" si="11"/>
        <v>-20.75</v>
      </c>
      <c r="J12">
        <f t="shared" si="12"/>
        <v>20.75</v>
      </c>
      <c r="K12">
        <f t="shared" si="13"/>
        <v>430.5625</v>
      </c>
      <c r="L12">
        <f t="shared" si="14"/>
        <v>43.229166666666671</v>
      </c>
      <c r="M12">
        <f t="shared" si="0"/>
        <v>57</v>
      </c>
      <c r="N12">
        <f t="shared" si="3"/>
        <v>-9</v>
      </c>
      <c r="O12">
        <f t="shared" si="4"/>
        <v>9</v>
      </c>
      <c r="P12">
        <f t="shared" si="5"/>
        <v>81</v>
      </c>
      <c r="Q12">
        <f t="shared" si="1"/>
        <v>18.75</v>
      </c>
    </row>
    <row r="13" spans="1:17" x14ac:dyDescent="0.3">
      <c r="A13">
        <v>10</v>
      </c>
      <c r="B13">
        <v>35</v>
      </c>
      <c r="C13">
        <f t="shared" si="2"/>
        <v>54</v>
      </c>
      <c r="D13">
        <f t="shared" si="6"/>
        <v>-19</v>
      </c>
      <c r="E13">
        <f t="shared" si="7"/>
        <v>19</v>
      </c>
      <c r="F13">
        <f t="shared" si="8"/>
        <v>361</v>
      </c>
      <c r="G13">
        <f t="shared" si="9"/>
        <v>54.285714285714285</v>
      </c>
      <c r="H13">
        <f t="shared" si="10"/>
        <v>63.25</v>
      </c>
      <c r="I13">
        <f t="shared" si="11"/>
        <v>-28.25</v>
      </c>
      <c r="J13">
        <f t="shared" si="12"/>
        <v>28.25</v>
      </c>
      <c r="K13">
        <f t="shared" si="13"/>
        <v>798.0625</v>
      </c>
      <c r="L13">
        <f t="shared" si="14"/>
        <v>80.714285714285722</v>
      </c>
      <c r="M13">
        <f t="shared" si="0"/>
        <v>54</v>
      </c>
      <c r="N13">
        <f t="shared" si="3"/>
        <v>-19</v>
      </c>
      <c r="O13">
        <f t="shared" si="4"/>
        <v>19</v>
      </c>
      <c r="P13">
        <f t="shared" si="5"/>
        <v>361</v>
      </c>
      <c r="Q13">
        <f t="shared" si="1"/>
        <v>54.285714285714285</v>
      </c>
    </row>
    <row r="14" spans="1:17" x14ac:dyDescent="0.3">
      <c r="A14">
        <v>11</v>
      </c>
      <c r="B14">
        <v>49</v>
      </c>
      <c r="C14">
        <f t="shared" si="2"/>
        <v>47.666666666666664</v>
      </c>
      <c r="D14">
        <f t="shared" si="6"/>
        <v>1.3333333333333357</v>
      </c>
      <c r="E14">
        <f t="shared" si="7"/>
        <v>1.3333333333333357</v>
      </c>
      <c r="F14">
        <f t="shared" si="8"/>
        <v>1.7777777777777841</v>
      </c>
      <c r="G14">
        <f t="shared" si="9"/>
        <v>2.7210884353741545</v>
      </c>
      <c r="H14">
        <f t="shared" si="10"/>
        <v>49.25</v>
      </c>
      <c r="I14">
        <f t="shared" si="11"/>
        <v>-0.25</v>
      </c>
      <c r="J14">
        <f t="shared" si="12"/>
        <v>0.25</v>
      </c>
      <c r="K14">
        <f t="shared" si="13"/>
        <v>6.25E-2</v>
      </c>
      <c r="L14">
        <f t="shared" si="14"/>
        <v>0.51020408163265307</v>
      </c>
      <c r="M14">
        <f t="shared" si="0"/>
        <v>41.5</v>
      </c>
      <c r="N14">
        <f t="shared" si="3"/>
        <v>7.5</v>
      </c>
      <c r="O14">
        <f t="shared" si="4"/>
        <v>7.5</v>
      </c>
      <c r="P14">
        <f t="shared" si="5"/>
        <v>56.25</v>
      </c>
      <c r="Q14">
        <f t="shared" si="1"/>
        <v>15.306122448979592</v>
      </c>
    </row>
    <row r="15" spans="1:17" x14ac:dyDescent="0.3">
      <c r="A15">
        <v>12</v>
      </c>
      <c r="B15">
        <v>44</v>
      </c>
      <c r="C15">
        <f t="shared" si="2"/>
        <v>44</v>
      </c>
      <c r="D15">
        <f t="shared" si="6"/>
        <v>0</v>
      </c>
      <c r="E15">
        <f t="shared" si="7"/>
        <v>0</v>
      </c>
      <c r="F15">
        <f t="shared" si="8"/>
        <v>0</v>
      </c>
      <c r="G15">
        <f t="shared" si="9"/>
        <v>0</v>
      </c>
      <c r="H15">
        <f t="shared" si="10"/>
        <v>48</v>
      </c>
      <c r="I15">
        <f t="shared" si="11"/>
        <v>-4</v>
      </c>
      <c r="J15">
        <f t="shared" si="12"/>
        <v>4</v>
      </c>
      <c r="K15">
        <f t="shared" si="13"/>
        <v>16</v>
      </c>
      <c r="L15">
        <f t="shared" si="14"/>
        <v>9.0909090909090917</v>
      </c>
      <c r="M15">
        <f t="shared" si="0"/>
        <v>42</v>
      </c>
      <c r="N15">
        <f t="shared" si="3"/>
        <v>2</v>
      </c>
      <c r="O15">
        <f t="shared" si="4"/>
        <v>2</v>
      </c>
      <c r="P15">
        <f t="shared" si="5"/>
        <v>4</v>
      </c>
      <c r="Q15">
        <f t="shared" si="1"/>
        <v>4.5454545454545459</v>
      </c>
    </row>
    <row r="16" spans="1:17" x14ac:dyDescent="0.3">
      <c r="A16">
        <v>13</v>
      </c>
      <c r="B16">
        <v>61</v>
      </c>
      <c r="C16">
        <f t="shared" si="2"/>
        <v>42.666666666666664</v>
      </c>
      <c r="D16">
        <f t="shared" si="6"/>
        <v>18.333333333333336</v>
      </c>
      <c r="E16">
        <f t="shared" si="7"/>
        <v>18.333333333333336</v>
      </c>
      <c r="F16">
        <f t="shared" si="8"/>
        <v>336.1111111111112</v>
      </c>
      <c r="G16">
        <f t="shared" si="9"/>
        <v>30.054644808743173</v>
      </c>
      <c r="H16">
        <f t="shared" si="10"/>
        <v>44</v>
      </c>
      <c r="I16">
        <f t="shared" si="11"/>
        <v>17</v>
      </c>
      <c r="J16">
        <f t="shared" si="12"/>
        <v>17</v>
      </c>
      <c r="K16">
        <f t="shared" si="13"/>
        <v>289</v>
      </c>
      <c r="L16">
        <f t="shared" si="14"/>
        <v>27.868852459016392</v>
      </c>
      <c r="M16">
        <f t="shared" si="0"/>
        <v>46.5</v>
      </c>
      <c r="N16">
        <f t="shared" si="3"/>
        <v>14.5</v>
      </c>
      <c r="O16">
        <f t="shared" si="4"/>
        <v>14.5</v>
      </c>
      <c r="P16">
        <f t="shared" si="5"/>
        <v>210.25</v>
      </c>
      <c r="Q16">
        <f t="shared" si="1"/>
        <v>23.770491803278688</v>
      </c>
    </row>
    <row r="17" spans="1:17" x14ac:dyDescent="0.3">
      <c r="A17">
        <v>14</v>
      </c>
      <c r="B17">
        <v>68</v>
      </c>
      <c r="C17">
        <f t="shared" si="2"/>
        <v>51.333333333333336</v>
      </c>
      <c r="D17">
        <f t="shared" si="6"/>
        <v>16.666666666666664</v>
      </c>
      <c r="E17">
        <f t="shared" si="7"/>
        <v>16.666666666666664</v>
      </c>
      <c r="F17">
        <f t="shared" si="8"/>
        <v>277.77777777777771</v>
      </c>
      <c r="G17">
        <f t="shared" si="9"/>
        <v>24.509803921568622</v>
      </c>
      <c r="H17">
        <f t="shared" si="10"/>
        <v>47.25</v>
      </c>
      <c r="I17">
        <f t="shared" si="11"/>
        <v>20.75</v>
      </c>
      <c r="J17">
        <f t="shared" si="12"/>
        <v>20.75</v>
      </c>
      <c r="K17">
        <f t="shared" si="13"/>
        <v>430.5625</v>
      </c>
      <c r="L17">
        <f t="shared" si="14"/>
        <v>30.514705882352942</v>
      </c>
      <c r="M17">
        <f t="shared" si="0"/>
        <v>52.5</v>
      </c>
      <c r="N17">
        <f t="shared" si="3"/>
        <v>15.5</v>
      </c>
      <c r="O17">
        <f t="shared" si="4"/>
        <v>15.5</v>
      </c>
      <c r="P17">
        <f t="shared" si="5"/>
        <v>240.25</v>
      </c>
      <c r="Q17">
        <f t="shared" si="1"/>
        <v>22.794117647058822</v>
      </c>
    </row>
    <row r="18" spans="1:17" x14ac:dyDescent="0.3">
      <c r="A18">
        <v>15</v>
      </c>
      <c r="B18">
        <v>82</v>
      </c>
      <c r="C18">
        <f t="shared" si="2"/>
        <v>57.666666666666664</v>
      </c>
      <c r="D18">
        <f t="shared" si="6"/>
        <v>24.333333333333336</v>
      </c>
      <c r="E18">
        <f t="shared" si="7"/>
        <v>24.333333333333336</v>
      </c>
      <c r="F18">
        <f t="shared" si="8"/>
        <v>592.1111111111112</v>
      </c>
      <c r="G18">
        <f t="shared" si="9"/>
        <v>29.674796747967481</v>
      </c>
      <c r="H18">
        <f t="shared" si="10"/>
        <v>55.5</v>
      </c>
      <c r="I18">
        <f t="shared" si="11"/>
        <v>26.5</v>
      </c>
      <c r="J18">
        <f t="shared" si="12"/>
        <v>26.5</v>
      </c>
      <c r="K18">
        <f t="shared" si="13"/>
        <v>702.25</v>
      </c>
      <c r="L18">
        <f t="shared" si="14"/>
        <v>32.31707317073171</v>
      </c>
      <c r="M18">
        <f t="shared" si="0"/>
        <v>64.5</v>
      </c>
      <c r="N18">
        <f t="shared" si="3"/>
        <v>17.5</v>
      </c>
      <c r="O18">
        <f t="shared" si="4"/>
        <v>17.5</v>
      </c>
      <c r="P18">
        <f t="shared" si="5"/>
        <v>306.25</v>
      </c>
      <c r="Q18">
        <f t="shared" si="1"/>
        <v>21.341463414634145</v>
      </c>
    </row>
    <row r="19" spans="1:17" x14ac:dyDescent="0.3">
      <c r="A19">
        <v>16</v>
      </c>
      <c r="B19">
        <v>71</v>
      </c>
      <c r="C19">
        <f t="shared" si="2"/>
        <v>70.333333333333329</v>
      </c>
      <c r="D19">
        <f t="shared" si="6"/>
        <v>0.6666666666666714</v>
      </c>
      <c r="E19">
        <f t="shared" si="7"/>
        <v>0.6666666666666714</v>
      </c>
      <c r="F19">
        <f t="shared" si="8"/>
        <v>0.44444444444445075</v>
      </c>
      <c r="G19">
        <f t="shared" si="9"/>
        <v>0.93896713615024141</v>
      </c>
      <c r="H19">
        <f t="shared" si="10"/>
        <v>63.75</v>
      </c>
      <c r="I19">
        <f t="shared" si="11"/>
        <v>7.25</v>
      </c>
      <c r="J19">
        <f t="shared" si="12"/>
        <v>7.25</v>
      </c>
      <c r="K19">
        <f t="shared" si="13"/>
        <v>52.5625</v>
      </c>
      <c r="L19">
        <f t="shared" si="14"/>
        <v>10.211267605633804</v>
      </c>
      <c r="M19">
        <f t="shared" si="0"/>
        <v>75</v>
      </c>
      <c r="N19">
        <f t="shared" si="3"/>
        <v>-4</v>
      </c>
      <c r="O19">
        <f t="shared" si="4"/>
        <v>4</v>
      </c>
      <c r="P19">
        <f t="shared" si="5"/>
        <v>16</v>
      </c>
      <c r="Q19">
        <f t="shared" si="1"/>
        <v>5.6338028169014089</v>
      </c>
    </row>
    <row r="20" spans="1:17" x14ac:dyDescent="0.3">
      <c r="A20">
        <v>17</v>
      </c>
      <c r="B20">
        <v>50</v>
      </c>
      <c r="C20">
        <f t="shared" si="2"/>
        <v>73.666666666666671</v>
      </c>
      <c r="D20">
        <f t="shared" si="6"/>
        <v>-23.666666666666671</v>
      </c>
      <c r="E20">
        <f t="shared" si="7"/>
        <v>23.666666666666671</v>
      </c>
      <c r="F20">
        <f t="shared" ref="F20" si="15">E20^2</f>
        <v>560.11111111111131</v>
      </c>
      <c r="G20">
        <f t="shared" si="9"/>
        <v>47.333333333333343</v>
      </c>
      <c r="H20">
        <f t="shared" si="10"/>
        <v>70.5</v>
      </c>
      <c r="I20">
        <f t="shared" si="11"/>
        <v>-20.5</v>
      </c>
      <c r="J20">
        <f t="shared" si="12"/>
        <v>20.5</v>
      </c>
      <c r="K20">
        <f t="shared" si="13"/>
        <v>420.25</v>
      </c>
      <c r="L20">
        <f t="shared" si="14"/>
        <v>41</v>
      </c>
      <c r="M20">
        <f t="shared" si="0"/>
        <v>76.5</v>
      </c>
      <c r="N20">
        <f t="shared" si="3"/>
        <v>-26.5</v>
      </c>
      <c r="O20">
        <f t="shared" si="4"/>
        <v>26.5</v>
      </c>
      <c r="P20">
        <f t="shared" si="5"/>
        <v>702.25</v>
      </c>
      <c r="Q20">
        <f t="shared" si="1"/>
        <v>53</v>
      </c>
    </row>
    <row r="21" spans="1:17" x14ac:dyDescent="0.3">
      <c r="A21">
        <v>18</v>
      </c>
      <c r="C21">
        <f t="shared" si="2"/>
        <v>67.666666666666671</v>
      </c>
      <c r="D21">
        <f t="shared" si="6"/>
        <v>-67.666666666666671</v>
      </c>
      <c r="E21">
        <f t="shared" si="7"/>
        <v>67.666666666666671</v>
      </c>
      <c r="H21">
        <f t="shared" si="10"/>
        <v>67.75</v>
      </c>
      <c r="M21">
        <f t="shared" si="0"/>
        <v>60.5</v>
      </c>
      <c r="N21">
        <f t="shared" si="3"/>
        <v>-60.5</v>
      </c>
      <c r="O21">
        <f t="shared" si="4"/>
        <v>60.5</v>
      </c>
      <c r="P21">
        <f t="shared" si="5"/>
        <v>3660.25</v>
      </c>
    </row>
    <row r="22" spans="1:17" x14ac:dyDescent="0.3">
      <c r="J22" t="s">
        <v>10</v>
      </c>
      <c r="K22">
        <f>AVERAGE(J8:J20)</f>
        <v>16.134615384615383</v>
      </c>
      <c r="N22" t="s">
        <v>10</v>
      </c>
      <c r="O22">
        <f>AVERAGE(O6:O20)</f>
        <v>13.633333333333333</v>
      </c>
    </row>
    <row r="23" spans="1:17" x14ac:dyDescent="0.3">
      <c r="E23" t="s">
        <v>10</v>
      </c>
      <c r="F23">
        <f>AVERAGE(E7:E20)</f>
        <v>14.857142857142861</v>
      </c>
      <c r="J23" t="s">
        <v>18</v>
      </c>
      <c r="K23">
        <f>AVERAGE(K8:K20)</f>
        <v>355.24519230769232</v>
      </c>
      <c r="N23" t="s">
        <v>18</v>
      </c>
      <c r="O23">
        <f>AVERAGE(P6:P20)</f>
        <v>254.38333333333333</v>
      </c>
    </row>
    <row r="24" spans="1:17" x14ac:dyDescent="0.3">
      <c r="E24" t="s">
        <v>11</v>
      </c>
      <c r="F24">
        <f>AVERAGE(F7:F20)</f>
        <v>299.84126984126988</v>
      </c>
      <c r="J24" t="s">
        <v>12</v>
      </c>
      <c r="K24">
        <f>AVERAGE(L8:L20)</f>
        <v>28.065817716953429</v>
      </c>
      <c r="N24" t="s">
        <v>12</v>
      </c>
      <c r="O24">
        <f>AVERAGE(Q6:Q20)</f>
        <v>23.62596796162493</v>
      </c>
    </row>
    <row r="25" spans="1:17" x14ac:dyDescent="0.3">
      <c r="E25" t="s">
        <v>12</v>
      </c>
      <c r="F25">
        <f>AVERAGE(G7:G20)</f>
        <v>25.374135105123393</v>
      </c>
    </row>
  </sheetData>
  <mergeCells count="3">
    <mergeCell ref="C2:G2"/>
    <mergeCell ref="H2:L2"/>
    <mergeCell ref="M2:Q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4AC3-3BF8-42E3-AE59-0A54CD03696F}">
  <dimension ref="A1:K20"/>
  <sheetViews>
    <sheetView topLeftCell="A2" zoomScale="119" workbookViewId="0">
      <selection activeCell="O14" sqref="O14"/>
    </sheetView>
  </sheetViews>
  <sheetFormatPr defaultRowHeight="14.4" x14ac:dyDescent="0.3"/>
  <cols>
    <col min="1" max="2" width="8.88671875" customWidth="1"/>
  </cols>
  <sheetData>
    <row r="1" spans="1:11" x14ac:dyDescent="0.3">
      <c r="G1" t="s">
        <v>19</v>
      </c>
    </row>
    <row r="2" spans="1:11" x14ac:dyDescent="0.3">
      <c r="A2" t="s">
        <v>1</v>
      </c>
      <c r="B2" t="s">
        <v>2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0.9</v>
      </c>
    </row>
    <row r="3" spans="1:11" x14ac:dyDescent="0.3">
      <c r="A3">
        <v>1</v>
      </c>
      <c r="B3">
        <v>88</v>
      </c>
      <c r="C3">
        <v>88</v>
      </c>
      <c r="D3">
        <v>88</v>
      </c>
      <c r="E3">
        <v>88</v>
      </c>
      <c r="F3">
        <v>88</v>
      </c>
      <c r="G3">
        <v>88</v>
      </c>
      <c r="H3">
        <v>88</v>
      </c>
      <c r="I3">
        <v>88</v>
      </c>
      <c r="J3">
        <v>88</v>
      </c>
      <c r="K3">
        <v>88</v>
      </c>
    </row>
    <row r="4" spans="1:11" x14ac:dyDescent="0.3">
      <c r="A4">
        <v>2</v>
      </c>
      <c r="B4">
        <v>44</v>
      </c>
      <c r="C4">
        <f>C3+$C$2*(B3-C3)</f>
        <v>88</v>
      </c>
      <c r="D4">
        <f>D3+$D$2*(B3-D3)</f>
        <v>88</v>
      </c>
      <c r="E4">
        <f>E3+$E$2*(B3-E3)</f>
        <v>88</v>
      </c>
      <c r="F4">
        <f>F3+$F$2*(B3-F3)</f>
        <v>88</v>
      </c>
      <c r="G4">
        <f>G3+$G$2*(B3-G3)</f>
        <v>88</v>
      </c>
      <c r="H4">
        <f>H3+$H$2*(B3-H3)</f>
        <v>88</v>
      </c>
      <c r="I4">
        <f>I3+$I$2*(B3-I3)</f>
        <v>88</v>
      </c>
      <c r="J4">
        <f>J3+$J$2*(B3-J3)</f>
        <v>88</v>
      </c>
      <c r="K4">
        <f>K3+$K$2*(B3-K3)</f>
        <v>88</v>
      </c>
    </row>
    <row r="5" spans="1:11" x14ac:dyDescent="0.3">
      <c r="A5">
        <v>3</v>
      </c>
      <c r="B5">
        <v>60</v>
      </c>
      <c r="C5">
        <f t="shared" ref="C5:C19" si="0">C4+$C$2*(B4-C4)</f>
        <v>83.6</v>
      </c>
      <c r="D5">
        <f t="shared" ref="D5:D19" si="1">D4+$D$2*(B4-D4)</f>
        <v>79.2</v>
      </c>
      <c r="E5">
        <f t="shared" ref="E5:E19" si="2">E4+$E$2*(B4-E4)</f>
        <v>74.8</v>
      </c>
      <c r="F5">
        <f t="shared" ref="F5:F19" si="3">F4+$F$2*(B4-F4)</f>
        <v>70.400000000000006</v>
      </c>
      <c r="G5">
        <f t="shared" ref="G5:G19" si="4">G4+$G$2*(B4-G4)</f>
        <v>66</v>
      </c>
      <c r="H5">
        <f t="shared" ref="H5:H19" si="5">H4+$H$2*(B4-H4)</f>
        <v>61.6</v>
      </c>
      <c r="I5">
        <f t="shared" ref="I5:I19" si="6">I4+$I$2*(B4-I4)</f>
        <v>57.2</v>
      </c>
      <c r="J5">
        <f t="shared" ref="J5:J19" si="7">J4+$J$2*(B4-J4)</f>
        <v>52.8</v>
      </c>
      <c r="K5">
        <f t="shared" ref="K5:K19" si="8">K4+$K$2*(B4-K4)</f>
        <v>48.4</v>
      </c>
    </row>
    <row r="6" spans="1:11" x14ac:dyDescent="0.3">
      <c r="A6">
        <v>4</v>
      </c>
      <c r="B6">
        <v>56</v>
      </c>
      <c r="C6">
        <f t="shared" si="0"/>
        <v>81.239999999999995</v>
      </c>
      <c r="D6">
        <f t="shared" si="1"/>
        <v>75.36</v>
      </c>
      <c r="E6">
        <f t="shared" si="2"/>
        <v>70.36</v>
      </c>
      <c r="F6">
        <f t="shared" si="3"/>
        <v>66.240000000000009</v>
      </c>
      <c r="G6">
        <f t="shared" si="4"/>
        <v>63</v>
      </c>
      <c r="H6">
        <f t="shared" si="5"/>
        <v>60.64</v>
      </c>
      <c r="I6">
        <f t="shared" si="6"/>
        <v>59.160000000000004</v>
      </c>
      <c r="J6">
        <f t="shared" si="7"/>
        <v>58.56</v>
      </c>
      <c r="K6">
        <f t="shared" si="8"/>
        <v>58.84</v>
      </c>
    </row>
    <row r="7" spans="1:11" x14ac:dyDescent="0.3">
      <c r="A7">
        <v>5</v>
      </c>
      <c r="B7">
        <v>70</v>
      </c>
      <c r="C7">
        <f t="shared" si="0"/>
        <v>78.715999999999994</v>
      </c>
      <c r="D7">
        <f t="shared" si="1"/>
        <v>71.488</v>
      </c>
      <c r="E7">
        <f t="shared" si="2"/>
        <v>66.051999999999992</v>
      </c>
      <c r="F7">
        <f t="shared" si="3"/>
        <v>62.144000000000005</v>
      </c>
      <c r="G7">
        <f t="shared" si="4"/>
        <v>59.5</v>
      </c>
      <c r="H7">
        <f t="shared" si="5"/>
        <v>57.856000000000002</v>
      </c>
      <c r="I7">
        <f t="shared" si="6"/>
        <v>56.948</v>
      </c>
      <c r="J7">
        <f t="shared" si="7"/>
        <v>56.512</v>
      </c>
      <c r="K7">
        <f t="shared" si="8"/>
        <v>56.283999999999999</v>
      </c>
    </row>
    <row r="8" spans="1:11" x14ac:dyDescent="0.3">
      <c r="A8">
        <v>6</v>
      </c>
      <c r="B8">
        <v>91</v>
      </c>
      <c r="C8">
        <f t="shared" si="0"/>
        <v>77.844399999999993</v>
      </c>
      <c r="D8">
        <f t="shared" si="1"/>
        <v>71.190399999999997</v>
      </c>
      <c r="E8">
        <f t="shared" si="2"/>
        <v>67.236399999999989</v>
      </c>
      <c r="F8">
        <f t="shared" si="3"/>
        <v>65.2864</v>
      </c>
      <c r="G8">
        <f t="shared" si="4"/>
        <v>64.75</v>
      </c>
      <c r="H8">
        <f t="shared" si="5"/>
        <v>65.142399999999995</v>
      </c>
      <c r="I8">
        <f t="shared" si="6"/>
        <v>66.084400000000002</v>
      </c>
      <c r="J8">
        <f t="shared" si="7"/>
        <v>67.302400000000006</v>
      </c>
      <c r="K8">
        <f t="shared" si="8"/>
        <v>68.628399999999999</v>
      </c>
    </row>
    <row r="9" spans="1:11" x14ac:dyDescent="0.3">
      <c r="A9">
        <v>7</v>
      </c>
      <c r="B9">
        <v>54</v>
      </c>
      <c r="C9">
        <f t="shared" si="0"/>
        <v>79.159959999999998</v>
      </c>
      <c r="D9">
        <f t="shared" si="1"/>
        <v>75.152320000000003</v>
      </c>
      <c r="E9">
        <f t="shared" si="2"/>
        <v>74.365479999999991</v>
      </c>
      <c r="F9">
        <f t="shared" si="3"/>
        <v>75.571840000000009</v>
      </c>
      <c r="G9">
        <f t="shared" si="4"/>
        <v>77.875</v>
      </c>
      <c r="H9">
        <f t="shared" si="5"/>
        <v>80.656959999999998</v>
      </c>
      <c r="I9">
        <f t="shared" si="6"/>
        <v>83.525319999999994</v>
      </c>
      <c r="J9">
        <f t="shared" si="7"/>
        <v>86.260480000000001</v>
      </c>
      <c r="K9">
        <f t="shared" si="8"/>
        <v>88.762839999999997</v>
      </c>
    </row>
    <row r="10" spans="1:11" x14ac:dyDescent="0.3">
      <c r="A10">
        <v>8</v>
      </c>
      <c r="B10">
        <v>60</v>
      </c>
      <c r="C10">
        <f t="shared" si="0"/>
        <v>76.643963999999997</v>
      </c>
      <c r="D10">
        <f t="shared" si="1"/>
        <v>70.921856000000005</v>
      </c>
      <c r="E10">
        <f t="shared" si="2"/>
        <v>68.255835999999988</v>
      </c>
      <c r="F10">
        <f t="shared" si="3"/>
        <v>66.943104000000005</v>
      </c>
      <c r="G10">
        <f t="shared" si="4"/>
        <v>65.9375</v>
      </c>
      <c r="H10">
        <f t="shared" si="5"/>
        <v>64.662784000000002</v>
      </c>
      <c r="I10">
        <f t="shared" si="6"/>
        <v>62.857596000000001</v>
      </c>
      <c r="J10">
        <f t="shared" si="7"/>
        <v>60.452095999999997</v>
      </c>
      <c r="K10">
        <f t="shared" si="8"/>
        <v>57.476284</v>
      </c>
    </row>
    <row r="11" spans="1:11" x14ac:dyDescent="0.3">
      <c r="A11">
        <v>9</v>
      </c>
      <c r="B11">
        <v>48</v>
      </c>
      <c r="C11">
        <f t="shared" si="0"/>
        <v>74.979567599999996</v>
      </c>
      <c r="D11">
        <f t="shared" si="1"/>
        <v>68.737484800000004</v>
      </c>
      <c r="E11">
        <f t="shared" si="2"/>
        <v>65.779085199999997</v>
      </c>
      <c r="F11">
        <f t="shared" si="3"/>
        <v>64.165862400000009</v>
      </c>
      <c r="G11">
        <f t="shared" si="4"/>
        <v>62.96875</v>
      </c>
      <c r="H11">
        <f t="shared" si="5"/>
        <v>61.865113600000001</v>
      </c>
      <c r="I11">
        <f t="shared" si="6"/>
        <v>60.857278800000003</v>
      </c>
      <c r="J11">
        <f t="shared" si="7"/>
        <v>60.090419199999999</v>
      </c>
      <c r="K11">
        <f t="shared" si="8"/>
        <v>59.747628399999996</v>
      </c>
    </row>
    <row r="12" spans="1:11" x14ac:dyDescent="0.3">
      <c r="A12">
        <v>10</v>
      </c>
      <c r="B12">
        <v>35</v>
      </c>
      <c r="C12">
        <f t="shared" si="0"/>
        <v>72.281610839999999</v>
      </c>
      <c r="D12">
        <f t="shared" si="1"/>
        <v>64.589987840000006</v>
      </c>
      <c r="E12">
        <f t="shared" si="2"/>
        <v>60.44535964</v>
      </c>
      <c r="F12">
        <f t="shared" si="3"/>
        <v>57.699517440000008</v>
      </c>
      <c r="G12">
        <f t="shared" si="4"/>
        <v>55.484375</v>
      </c>
      <c r="H12">
        <f t="shared" si="5"/>
        <v>53.54604544</v>
      </c>
      <c r="I12">
        <f t="shared" si="6"/>
        <v>51.857183640000002</v>
      </c>
      <c r="J12">
        <f t="shared" si="7"/>
        <v>50.418083840000001</v>
      </c>
      <c r="K12">
        <f t="shared" si="8"/>
        <v>49.17476284</v>
      </c>
    </row>
    <row r="13" spans="1:11" x14ac:dyDescent="0.3">
      <c r="A13">
        <v>11</v>
      </c>
      <c r="B13">
        <v>49</v>
      </c>
      <c r="C13">
        <f t="shared" si="0"/>
        <v>68.553449755999992</v>
      </c>
      <c r="D13">
        <f t="shared" si="1"/>
        <v>58.671990272000002</v>
      </c>
      <c r="E13">
        <f t="shared" si="2"/>
        <v>52.811751747999999</v>
      </c>
      <c r="F13">
        <f t="shared" si="3"/>
        <v>48.619710464000008</v>
      </c>
      <c r="G13">
        <f t="shared" si="4"/>
        <v>45.2421875</v>
      </c>
      <c r="H13">
        <f t="shared" si="5"/>
        <v>42.418418176000003</v>
      </c>
      <c r="I13">
        <f t="shared" si="6"/>
        <v>40.057155092000002</v>
      </c>
      <c r="J13">
        <f t="shared" si="7"/>
        <v>38.083616767999999</v>
      </c>
      <c r="K13">
        <f t="shared" si="8"/>
        <v>36.417476284000003</v>
      </c>
    </row>
    <row r="14" spans="1:11" x14ac:dyDescent="0.3">
      <c r="A14">
        <v>12</v>
      </c>
      <c r="B14">
        <v>44</v>
      </c>
      <c r="C14">
        <f t="shared" si="0"/>
        <v>66.598104780399993</v>
      </c>
      <c r="D14">
        <f t="shared" si="1"/>
        <v>56.737592217600003</v>
      </c>
      <c r="E14">
        <f t="shared" si="2"/>
        <v>51.668226223600001</v>
      </c>
      <c r="F14">
        <f t="shared" si="3"/>
        <v>48.771826278400006</v>
      </c>
      <c r="G14">
        <f t="shared" si="4"/>
        <v>47.12109375</v>
      </c>
      <c r="H14">
        <f t="shared" si="5"/>
        <v>46.367367270400003</v>
      </c>
      <c r="I14">
        <f t="shared" si="6"/>
        <v>46.317146527600002</v>
      </c>
      <c r="J14">
        <f t="shared" si="7"/>
        <v>46.816723353599997</v>
      </c>
      <c r="K14">
        <f t="shared" si="8"/>
        <v>47.741747628399999</v>
      </c>
    </row>
    <row r="15" spans="1:11" x14ac:dyDescent="0.3">
      <c r="A15">
        <v>13</v>
      </c>
      <c r="B15">
        <v>61</v>
      </c>
      <c r="C15">
        <f t="shared" si="0"/>
        <v>64.338294302359998</v>
      </c>
      <c r="D15">
        <f t="shared" si="1"/>
        <v>54.190073774080005</v>
      </c>
      <c r="E15">
        <f t="shared" si="2"/>
        <v>49.36775835652</v>
      </c>
      <c r="F15">
        <f t="shared" si="3"/>
        <v>46.863095767040001</v>
      </c>
      <c r="G15">
        <f t="shared" si="4"/>
        <v>45.560546875</v>
      </c>
      <c r="H15">
        <f t="shared" si="5"/>
        <v>44.946946908160001</v>
      </c>
      <c r="I15">
        <f t="shared" si="6"/>
        <v>44.695143958279999</v>
      </c>
      <c r="J15">
        <f t="shared" si="7"/>
        <v>44.563344670719999</v>
      </c>
      <c r="K15">
        <f t="shared" si="8"/>
        <v>44.374174762839999</v>
      </c>
    </row>
    <row r="16" spans="1:11" x14ac:dyDescent="0.3">
      <c r="A16">
        <v>14</v>
      </c>
      <c r="B16">
        <v>68</v>
      </c>
      <c r="C16">
        <f t="shared" si="0"/>
        <v>64.004464872124004</v>
      </c>
      <c r="D16">
        <f t="shared" si="1"/>
        <v>55.552059019264007</v>
      </c>
      <c r="E16">
        <f t="shared" si="2"/>
        <v>52.857430849563997</v>
      </c>
      <c r="F16">
        <f t="shared" si="3"/>
        <v>52.517857460224</v>
      </c>
      <c r="G16">
        <f t="shared" si="4"/>
        <v>53.2802734375</v>
      </c>
      <c r="H16">
        <f t="shared" si="5"/>
        <v>54.578778763263998</v>
      </c>
      <c r="I16">
        <f t="shared" si="6"/>
        <v>56.108543187484003</v>
      </c>
      <c r="J16">
        <f t="shared" si="7"/>
        <v>57.712668934143998</v>
      </c>
      <c r="K16">
        <f t="shared" si="8"/>
        <v>59.337417476284003</v>
      </c>
    </row>
    <row r="17" spans="1:11" x14ac:dyDescent="0.3">
      <c r="A17">
        <v>15</v>
      </c>
      <c r="B17">
        <v>82</v>
      </c>
      <c r="C17">
        <f t="shared" si="0"/>
        <v>64.404018384911609</v>
      </c>
      <c r="D17">
        <f t="shared" si="1"/>
        <v>58.041647215411203</v>
      </c>
      <c r="E17">
        <f t="shared" si="2"/>
        <v>57.400201594694799</v>
      </c>
      <c r="F17">
        <f t="shared" si="3"/>
        <v>58.710714476134399</v>
      </c>
      <c r="G17">
        <f t="shared" si="4"/>
        <v>60.64013671875</v>
      </c>
      <c r="H17">
        <f t="shared" si="5"/>
        <v>62.631511505305596</v>
      </c>
      <c r="I17">
        <f t="shared" si="6"/>
        <v>64.432562956245206</v>
      </c>
      <c r="J17">
        <f t="shared" si="7"/>
        <v>65.942533786828804</v>
      </c>
      <c r="K17">
        <f t="shared" si="8"/>
        <v>67.133741747628406</v>
      </c>
    </row>
    <row r="18" spans="1:11" x14ac:dyDescent="0.3">
      <c r="A18">
        <v>16</v>
      </c>
      <c r="B18">
        <v>71</v>
      </c>
      <c r="C18">
        <f t="shared" si="0"/>
        <v>66.163616546420442</v>
      </c>
      <c r="D18">
        <f t="shared" si="1"/>
        <v>62.833317772328961</v>
      </c>
      <c r="E18">
        <f t="shared" si="2"/>
        <v>64.780141116286359</v>
      </c>
      <c r="F18">
        <f t="shared" si="3"/>
        <v>68.026428685680642</v>
      </c>
      <c r="G18">
        <f t="shared" si="4"/>
        <v>71.320068359375</v>
      </c>
      <c r="H18">
        <f t="shared" si="5"/>
        <v>74.252604602122233</v>
      </c>
      <c r="I18">
        <f t="shared" si="6"/>
        <v>76.729768886873558</v>
      </c>
      <c r="J18">
        <f t="shared" si="7"/>
        <v>78.788506757365766</v>
      </c>
      <c r="K18">
        <f t="shared" si="8"/>
        <v>80.513374174762845</v>
      </c>
    </row>
    <row r="19" spans="1:11" x14ac:dyDescent="0.3">
      <c r="A19">
        <v>17</v>
      </c>
      <c r="B19">
        <v>50</v>
      </c>
      <c r="C19">
        <f t="shared" si="0"/>
        <v>66.647254891778402</v>
      </c>
      <c r="D19">
        <f t="shared" si="1"/>
        <v>64.466654217863166</v>
      </c>
      <c r="E19">
        <f t="shared" si="2"/>
        <v>66.646098781400454</v>
      </c>
      <c r="F19">
        <f t="shared" si="3"/>
        <v>69.215857211408391</v>
      </c>
      <c r="G19">
        <f t="shared" si="4"/>
        <v>71.1600341796875</v>
      </c>
      <c r="H19">
        <f t="shared" si="5"/>
        <v>72.301041840848896</v>
      </c>
      <c r="I19">
        <f t="shared" si="6"/>
        <v>72.718930666062064</v>
      </c>
      <c r="J19">
        <f t="shared" si="7"/>
        <v>72.557701351473156</v>
      </c>
      <c r="K19">
        <f t="shared" si="8"/>
        <v>71.951337417476282</v>
      </c>
    </row>
    <row r="20" spans="1:11" x14ac:dyDescent="0.3">
      <c r="A20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3103-15F5-4D18-9A08-47B3234C28E9}">
  <dimension ref="A1:B54"/>
  <sheetViews>
    <sheetView workbookViewId="0">
      <selection activeCell="I13" sqref="I13"/>
    </sheetView>
  </sheetViews>
  <sheetFormatPr defaultRowHeight="14.4" x14ac:dyDescent="0.3"/>
  <cols>
    <col min="1" max="1" width="11.44140625" customWidth="1"/>
    <col min="2" max="2" width="16.21875" customWidth="1"/>
  </cols>
  <sheetData>
    <row r="1" spans="1:2" ht="15.6" x14ac:dyDescent="0.3">
      <c r="A1" s="1" t="s">
        <v>3</v>
      </c>
      <c r="B1" s="1" t="s">
        <v>4</v>
      </c>
    </row>
    <row r="2" spans="1:2" ht="15.6" x14ac:dyDescent="0.3">
      <c r="A2" s="3">
        <v>42005</v>
      </c>
      <c r="B2" s="2">
        <v>3204637</v>
      </c>
    </row>
    <row r="3" spans="1:2" ht="15.6" x14ac:dyDescent="0.3">
      <c r="A3" s="3">
        <v>42036</v>
      </c>
      <c r="B3" s="2">
        <v>2966477</v>
      </c>
    </row>
    <row r="4" spans="1:2" ht="15.6" x14ac:dyDescent="0.3">
      <c r="A4" s="3">
        <v>42064</v>
      </c>
      <c r="B4" s="2">
        <v>3593364</v>
      </c>
    </row>
    <row r="5" spans="1:2" ht="15.6" x14ac:dyDescent="0.3">
      <c r="A5" s="3">
        <v>42095</v>
      </c>
      <c r="B5" s="2">
        <v>3604104</v>
      </c>
    </row>
    <row r="6" spans="1:2" ht="15.6" x14ac:dyDescent="0.3">
      <c r="A6" s="3">
        <v>42125</v>
      </c>
      <c r="B6" s="2">
        <v>3933016</v>
      </c>
    </row>
    <row r="7" spans="1:2" ht="15.6" x14ac:dyDescent="0.3">
      <c r="A7" s="3">
        <v>42156</v>
      </c>
      <c r="B7" s="2">
        <v>4146797</v>
      </c>
    </row>
    <row r="8" spans="1:2" ht="15.6" x14ac:dyDescent="0.3">
      <c r="A8" s="3">
        <v>42186</v>
      </c>
      <c r="B8" s="2">
        <v>4176486</v>
      </c>
    </row>
    <row r="9" spans="1:2" ht="15.6" x14ac:dyDescent="0.3">
      <c r="A9" s="3">
        <v>42217</v>
      </c>
      <c r="B9" s="2">
        <v>4347059</v>
      </c>
    </row>
    <row r="10" spans="1:2" ht="15.6" x14ac:dyDescent="0.3">
      <c r="A10" s="3">
        <v>42248</v>
      </c>
      <c r="B10" s="2">
        <v>3781168</v>
      </c>
    </row>
    <row r="11" spans="1:2" ht="15.6" x14ac:dyDescent="0.3">
      <c r="A11" s="3">
        <v>42278</v>
      </c>
      <c r="B11" s="2">
        <v>3872278</v>
      </c>
    </row>
    <row r="12" spans="1:2" ht="15.6" x14ac:dyDescent="0.3">
      <c r="A12" s="3">
        <v>42309</v>
      </c>
      <c r="B12" s="2">
        <v>3902278</v>
      </c>
    </row>
    <row r="13" spans="1:2" ht="15.6" x14ac:dyDescent="0.3">
      <c r="A13" s="3">
        <v>42339</v>
      </c>
      <c r="B13" s="2">
        <v>4302278</v>
      </c>
    </row>
    <row r="14" spans="1:2" ht="15.6" x14ac:dyDescent="0.3">
      <c r="A14" s="3">
        <v>42370</v>
      </c>
      <c r="B14" s="2">
        <v>2644539</v>
      </c>
    </row>
    <row r="15" spans="1:2" ht="15.6" x14ac:dyDescent="0.3">
      <c r="A15" s="3">
        <v>42401</v>
      </c>
      <c r="B15" s="2">
        <v>2359800</v>
      </c>
    </row>
    <row r="16" spans="1:2" ht="15.6" x14ac:dyDescent="0.3">
      <c r="A16" s="3">
        <v>42430</v>
      </c>
      <c r="B16" s="2">
        <v>2925918</v>
      </c>
    </row>
    <row r="17" spans="1:2" ht="15.6" x14ac:dyDescent="0.3">
      <c r="A17" s="3">
        <v>42461</v>
      </c>
      <c r="B17" s="2">
        <v>3024973</v>
      </c>
    </row>
    <row r="18" spans="1:2" ht="15.6" x14ac:dyDescent="0.3">
      <c r="A18" s="3">
        <v>42491</v>
      </c>
      <c r="B18" s="2">
        <v>3177100</v>
      </c>
    </row>
    <row r="19" spans="1:2" ht="15.6" x14ac:dyDescent="0.3">
      <c r="A19" s="3">
        <v>42522</v>
      </c>
      <c r="B19" s="2">
        <v>3419595</v>
      </c>
    </row>
    <row r="20" spans="1:2" ht="15.6" x14ac:dyDescent="0.3">
      <c r="A20" s="3">
        <v>42552</v>
      </c>
      <c r="B20" s="2">
        <v>3649702</v>
      </c>
    </row>
    <row r="21" spans="1:2" ht="15.6" x14ac:dyDescent="0.3">
      <c r="A21" s="3">
        <v>42583</v>
      </c>
      <c r="B21" s="2">
        <v>3650668</v>
      </c>
    </row>
    <row r="22" spans="1:2" ht="15.6" x14ac:dyDescent="0.3">
      <c r="A22" s="3">
        <v>42614</v>
      </c>
      <c r="B22" s="2">
        <v>3191526</v>
      </c>
    </row>
    <row r="23" spans="1:2" ht="15.6" x14ac:dyDescent="0.3">
      <c r="A23" s="3">
        <v>42644</v>
      </c>
      <c r="B23" s="2">
        <v>3249428</v>
      </c>
    </row>
    <row r="24" spans="1:2" ht="15.6" x14ac:dyDescent="0.3">
      <c r="A24" s="3">
        <v>42675</v>
      </c>
      <c r="B24" s="2">
        <v>2971484</v>
      </c>
    </row>
    <row r="25" spans="1:2" ht="15.6" x14ac:dyDescent="0.3">
      <c r="A25" s="3">
        <v>42705</v>
      </c>
      <c r="B25" s="2">
        <v>3074209</v>
      </c>
    </row>
    <row r="26" spans="1:2" ht="15.6" x14ac:dyDescent="0.3">
      <c r="A26" s="3">
        <v>42736</v>
      </c>
      <c r="B26" s="2">
        <v>2785466</v>
      </c>
    </row>
    <row r="27" spans="1:2" ht="15.6" x14ac:dyDescent="0.3">
      <c r="A27" s="3">
        <v>42767</v>
      </c>
      <c r="B27" s="2">
        <v>2515361</v>
      </c>
    </row>
    <row r="28" spans="1:2" ht="15.6" x14ac:dyDescent="0.3">
      <c r="A28" s="3">
        <v>42795</v>
      </c>
      <c r="B28" s="2">
        <v>3105958</v>
      </c>
    </row>
    <row r="29" spans="1:2" ht="15.6" x14ac:dyDescent="0.3">
      <c r="A29" s="3">
        <v>42826</v>
      </c>
      <c r="B29" s="2">
        <v>3139059</v>
      </c>
    </row>
    <row r="30" spans="1:2" ht="15.6" x14ac:dyDescent="0.3">
      <c r="A30" s="3">
        <v>42856</v>
      </c>
      <c r="B30" s="2">
        <v>3380355</v>
      </c>
    </row>
    <row r="31" spans="1:2" ht="15.6" x14ac:dyDescent="0.3">
      <c r="A31" s="3">
        <v>42887</v>
      </c>
      <c r="B31" s="2">
        <v>3612886</v>
      </c>
    </row>
    <row r="32" spans="1:2" ht="15.6" x14ac:dyDescent="0.3">
      <c r="A32" s="3">
        <v>42917</v>
      </c>
      <c r="B32" s="2">
        <v>3765824</v>
      </c>
    </row>
    <row r="33" spans="1:2" ht="15.6" x14ac:dyDescent="0.3">
      <c r="A33" s="3">
        <v>42948</v>
      </c>
      <c r="B33" s="2">
        <v>3771842</v>
      </c>
    </row>
    <row r="34" spans="1:2" ht="15.6" x14ac:dyDescent="0.3">
      <c r="A34" s="3">
        <v>42979</v>
      </c>
      <c r="B34" s="2">
        <v>3356365</v>
      </c>
    </row>
    <row r="35" spans="1:2" ht="15.6" x14ac:dyDescent="0.3">
      <c r="A35" s="3">
        <v>43009</v>
      </c>
      <c r="B35" s="2">
        <v>3490100</v>
      </c>
    </row>
    <row r="36" spans="1:2" ht="15.6" x14ac:dyDescent="0.3">
      <c r="A36" s="3">
        <v>43040</v>
      </c>
      <c r="B36" s="2">
        <v>3163659</v>
      </c>
    </row>
    <row r="37" spans="1:2" ht="15.6" x14ac:dyDescent="0.3">
      <c r="A37" s="3">
        <v>43070</v>
      </c>
      <c r="B37" s="2">
        <v>3167124</v>
      </c>
    </row>
    <row r="38" spans="1:2" ht="15.6" x14ac:dyDescent="0.3">
      <c r="A38" s="3">
        <v>43101</v>
      </c>
      <c r="B38" s="2">
        <v>2883810</v>
      </c>
    </row>
    <row r="39" spans="1:2" ht="15.6" x14ac:dyDescent="0.3">
      <c r="A39" s="3">
        <v>43132</v>
      </c>
      <c r="B39" s="2">
        <v>2610667</v>
      </c>
    </row>
    <row r="40" spans="1:2" ht="15.6" x14ac:dyDescent="0.3">
      <c r="A40" s="3">
        <v>43160</v>
      </c>
      <c r="B40" s="2">
        <v>3129205</v>
      </c>
    </row>
    <row r="41" spans="1:2" ht="15.6" x14ac:dyDescent="0.3">
      <c r="A41" s="3">
        <v>43191</v>
      </c>
      <c r="B41" s="2">
        <v>3200527</v>
      </c>
    </row>
    <row r="42" spans="1:2" ht="15.6" x14ac:dyDescent="0.3">
      <c r="A42" s="3">
        <v>43221</v>
      </c>
      <c r="B42" s="2">
        <v>3547804</v>
      </c>
    </row>
    <row r="43" spans="1:2" ht="15.6" x14ac:dyDescent="0.3">
      <c r="A43" s="3">
        <v>43252</v>
      </c>
      <c r="B43" s="2">
        <v>3766323</v>
      </c>
    </row>
    <row r="44" spans="1:2" ht="15.6" x14ac:dyDescent="0.3">
      <c r="A44" s="3">
        <v>43282</v>
      </c>
      <c r="B44" s="2">
        <v>3935589</v>
      </c>
    </row>
    <row r="45" spans="1:2" ht="15.6" x14ac:dyDescent="0.3">
      <c r="A45" s="3">
        <v>43313</v>
      </c>
      <c r="B45" s="2">
        <v>3917884</v>
      </c>
    </row>
    <row r="46" spans="1:2" ht="15.6" x14ac:dyDescent="0.3">
      <c r="A46" s="3">
        <v>43344</v>
      </c>
      <c r="B46" s="2">
        <v>3564970</v>
      </c>
    </row>
    <row r="47" spans="1:2" ht="15.6" x14ac:dyDescent="0.3">
      <c r="A47" s="3">
        <v>43374</v>
      </c>
      <c r="B47" s="2">
        <v>3602455</v>
      </c>
    </row>
    <row r="48" spans="1:2" ht="15.6" x14ac:dyDescent="0.3">
      <c r="A48" s="3">
        <v>43405</v>
      </c>
      <c r="B48" s="2">
        <v>3326859</v>
      </c>
    </row>
    <row r="49" spans="1:2" ht="15.6" x14ac:dyDescent="0.3">
      <c r="A49" s="3">
        <v>43435</v>
      </c>
      <c r="B49" s="2">
        <v>3441693</v>
      </c>
    </row>
    <row r="50" spans="1:2" ht="15.6" x14ac:dyDescent="0.3">
      <c r="A50" s="3">
        <v>43466</v>
      </c>
      <c r="B50" s="2">
        <v>3211600</v>
      </c>
    </row>
    <row r="51" spans="1:2" ht="15.6" x14ac:dyDescent="0.3">
      <c r="A51" s="3">
        <v>43497</v>
      </c>
      <c r="B51" s="2">
        <v>2998119</v>
      </c>
    </row>
    <row r="52" spans="1:2" ht="15.6" x14ac:dyDescent="0.3">
      <c r="A52" s="3">
        <v>43525</v>
      </c>
      <c r="B52" s="2">
        <v>3472440</v>
      </c>
    </row>
    <row r="53" spans="1:2" ht="15.6" x14ac:dyDescent="0.3">
      <c r="A53" s="3">
        <v>43556</v>
      </c>
      <c r="B53" s="2">
        <v>3563007</v>
      </c>
    </row>
    <row r="54" spans="1:2" ht="15.6" x14ac:dyDescent="0.3">
      <c r="A54" s="3">
        <v>43586</v>
      </c>
      <c r="B54" s="2">
        <v>3820570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 9.8_9.9_9.10_pg 364 &amp; 365</vt:lpstr>
      <vt:lpstr>Sheet1</vt:lpstr>
      <vt:lpstr>ex 10 pg 381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Dhawani Nilesh Shah</dc:creator>
  <cp:lastModifiedBy>sneha mirani</cp:lastModifiedBy>
  <dcterms:created xsi:type="dcterms:W3CDTF">2015-06-05T18:17:20Z</dcterms:created>
  <dcterms:modified xsi:type="dcterms:W3CDTF">2026-02-03T17:15:12Z</dcterms:modified>
</cp:coreProperties>
</file>