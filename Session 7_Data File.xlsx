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hmedabad University\Third Year\6th Sem\TOD\"/>
    </mc:Choice>
  </mc:AlternateContent>
  <xr:revisionPtr revIDLastSave="0" documentId="13_ncr:1_{2632C952-C113-41D4-8583-269064F6F23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x 13 pg 381" sheetId="5" state="hidden" r:id="rId1"/>
    <sheet name="Ex 9.13_ pg 369" sheetId="1" r:id="rId2"/>
    <sheet name="Sheet1" sheetId="6" r:id="rId3"/>
    <sheet name="Ex 14 Pg 381" sheetId="2" state="hidden" r:id="rId4"/>
    <sheet name="Ex 16 pg 381" sheetId="3" state="hidden" r:id="rId5"/>
    <sheet name="Ex 17 pg 381" sheetId="4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6" l="1"/>
  <c r="H17" i="6"/>
  <c r="H18" i="6"/>
  <c r="H19" i="6"/>
  <c r="H20" i="6"/>
  <c r="H21" i="6"/>
  <c r="H22" i="6"/>
  <c r="H23" i="6"/>
  <c r="H24" i="6"/>
  <c r="H25" i="6"/>
  <c r="H26" i="6"/>
  <c r="H27" i="6"/>
  <c r="H16" i="6"/>
  <c r="E17" i="6"/>
  <c r="E18" i="6"/>
  <c r="E19" i="6"/>
  <c r="E20" i="6"/>
  <c r="E21" i="6"/>
  <c r="E22" i="6"/>
  <c r="E23" i="6"/>
  <c r="E24" i="6"/>
  <c r="E25" i="6"/>
  <c r="E26" i="6"/>
  <c r="E27" i="6"/>
  <c r="G17" i="6"/>
  <c r="G18" i="6"/>
  <c r="G19" i="6"/>
  <c r="G20" i="6"/>
  <c r="G21" i="6"/>
  <c r="G22" i="6"/>
  <c r="G23" i="6"/>
  <c r="G24" i="6"/>
  <c r="G25" i="6"/>
  <c r="G26" i="6"/>
  <c r="G27" i="6"/>
  <c r="G16" i="6"/>
  <c r="E16" i="6"/>
  <c r="D17" i="6"/>
  <c r="D18" i="6"/>
  <c r="D19" i="6"/>
  <c r="D20" i="6"/>
  <c r="D21" i="6" s="1"/>
  <c r="D22" i="6" s="1"/>
  <c r="D23" i="6" s="1"/>
  <c r="D24" i="6" s="1"/>
  <c r="D25" i="6" s="1"/>
  <c r="D26" i="6" s="1"/>
  <c r="D27" i="6" s="1"/>
  <c r="D16" i="6"/>
  <c r="F16" i="6"/>
  <c r="E5" i="6"/>
  <c r="E6" i="6"/>
  <c r="E7" i="6"/>
  <c r="E8" i="6"/>
  <c r="E9" i="6"/>
  <c r="E10" i="6"/>
  <c r="E11" i="6"/>
  <c r="E12" i="6"/>
  <c r="E13" i="6"/>
  <c r="E14" i="6"/>
  <c r="E15" i="6"/>
  <c r="E4" i="6"/>
  <c r="D6" i="6"/>
  <c r="D7" i="6"/>
  <c r="D8" i="6"/>
  <c r="D9" i="6" s="1"/>
  <c r="D10" i="6" s="1"/>
  <c r="D11" i="6" s="1"/>
  <c r="D12" i="6" s="1"/>
  <c r="D13" i="6" s="1"/>
  <c r="D14" i="6" s="1"/>
  <c r="D15" i="6" s="1"/>
  <c r="D5" i="6"/>
  <c r="D4" i="6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4" i="1"/>
  <c r="F19" i="6" l="1"/>
  <c r="F18" i="6"/>
  <c r="F17" i="6"/>
  <c r="F20" i="6" l="1"/>
  <c r="F21" i="6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N4" i="1"/>
  <c r="M4" i="1"/>
  <c r="L4" i="1"/>
  <c r="K4" i="1"/>
  <c r="J4" i="1"/>
  <c r="I4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4" i="1"/>
  <c r="F4" i="4"/>
  <c r="D6" i="4"/>
  <c r="F6" i="4" s="1"/>
  <c r="D5" i="4"/>
  <c r="F5" i="4" s="1"/>
  <c r="D4" i="4"/>
  <c r="F22" i="6" l="1"/>
  <c r="D7" i="4"/>
  <c r="F23" i="6" l="1"/>
  <c r="D8" i="4"/>
  <c r="F7" i="4"/>
  <c r="F24" i="6" l="1"/>
  <c r="D9" i="4"/>
  <c r="F8" i="4"/>
  <c r="F25" i="6" l="1"/>
  <c r="D10" i="4"/>
  <c r="F9" i="4"/>
  <c r="F26" i="6" l="1"/>
  <c r="D11" i="4"/>
  <c r="F10" i="4"/>
  <c r="F27" i="6" l="1"/>
  <c r="D12" i="4"/>
  <c r="F11" i="4"/>
  <c r="D13" i="4" l="1"/>
  <c r="F12" i="4"/>
  <c r="D14" i="4" l="1"/>
  <c r="F13" i="4"/>
  <c r="D15" i="4" l="1"/>
  <c r="F15" i="4" s="1"/>
  <c r="F14" i="4"/>
</calcChain>
</file>

<file path=xl/sharedStrings.xml><?xml version="1.0" encoding="utf-8"?>
<sst xmlns="http://schemas.openxmlformats.org/spreadsheetml/2006/main" count="206" uniqueCount="85">
  <si>
    <t>Gas and Electric Usage</t>
  </si>
  <si>
    <t>Month</t>
  </si>
  <si>
    <t>Jan</t>
  </si>
  <si>
    <t>Feb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</si>
  <si>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</si>
  <si>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</si>
  <si>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</si>
  <si>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</si>
  <si>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</si>
  <si>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</si>
  <si>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</si>
  <si>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</si>
  <si>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</si>
  <si>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</si>
  <si>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Consumer Price Index - All Urban Consumers</t>
  </si>
  <si>
    <t>Year</t>
  </si>
  <si>
    <t>Annual CPI</t>
  </si>
  <si>
    <t>Accidental deaths</t>
  </si>
  <si>
    <t>No. of Deaths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</si>
  <si>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</si>
  <si>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</si>
  <si>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</si>
  <si>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</si>
  <si>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</si>
  <si>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</si>
  <si>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</si>
  <si>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</si>
  <si>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</si>
  <si>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</si>
  <si>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</si>
  <si>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Auto Sales</t>
  </si>
  <si>
    <t>Stock Prices: Closing Figures</t>
  </si>
  <si>
    <t>Date</t>
  </si>
  <si>
    <t>Stock Exchange</t>
  </si>
  <si>
    <t>Bureau of Labor Statistics</t>
  </si>
  <si>
    <t>Level (a)</t>
  </si>
  <si>
    <t>Seasonality (S)</t>
  </si>
  <si>
    <t>Alpha</t>
  </si>
  <si>
    <t>Gamma</t>
  </si>
  <si>
    <t>Gas Use (A)</t>
  </si>
  <si>
    <t>Trend (b)</t>
  </si>
  <si>
    <t>Beta</t>
  </si>
  <si>
    <t>Period (t)</t>
  </si>
  <si>
    <t>Forecaste (F)</t>
  </si>
  <si>
    <t>Units (A)</t>
  </si>
  <si>
    <t xml:space="preserve">Regression based seasonality model </t>
  </si>
  <si>
    <t xml:space="preserve">Time/Period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</si>
  <si>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</si>
  <si>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</si>
  <si>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</si>
  <si>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</si>
  <si>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</si>
  <si>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</si>
  <si>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</si>
  <si>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</si>
  <si>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</si>
  <si>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</si>
  <si>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</si>
  <si>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</si>
  <si>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</si>
  <si>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</si>
  <si>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</si>
  <si>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</si>
  <si>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</si>
  <si>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</si>
  <si>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</si>
  <si>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</si>
  <si>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</si>
  <si>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</si>
  <si>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</si>
  <si>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</si>
  <si>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</si>
  <si>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</si>
  <si>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</si>
  <si>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Standard Residuals</t>
  </si>
  <si>
    <t>Predicted Gas Use (A)</t>
  </si>
  <si>
    <t xml:space="preserve">Error </t>
  </si>
  <si>
    <t xml:space="preserve">Alpha n Gamma are smoothing constants </t>
  </si>
  <si>
    <t xml:space="preserve">Seasonality(S) </t>
  </si>
  <si>
    <t>Forecast(F)</t>
  </si>
  <si>
    <t>Level(a)</t>
  </si>
  <si>
    <t>ABS</t>
  </si>
  <si>
    <t xml:space="preserve">MAD </t>
  </si>
  <si>
    <t>Gas usage is dependent variable,y</t>
  </si>
  <si>
    <t>Month is independent variable,x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</si>
</sst>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"/>
    <numFmt numFmtId="166" formatCode="mmm\-yyyy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2" fillId="0" borderId="1" xfId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164" fontId="5" fillId="0" borderId="0" xfId="1" applyNumberFormat="1" applyFont="1" applyAlignment="1">
      <alignment horizontal="right"/>
    </xf>
    <xf numFmtId="165" fontId="5" fillId="0" borderId="0" xfId="1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2" fillId="0" borderId="2" xfId="1" applyFont="1" applyBorder="1" applyAlignment="1">
      <alignment horizontal="left" wrapText="1"/>
    </xf>
    <xf numFmtId="0" fontId="7" fillId="2" borderId="0" xfId="0" applyFont="1" applyFill="1"/>
    <xf numFmtId="0" fontId="4" fillId="0" borderId="0" xfId="0" applyFont="1"/>
    <xf numFmtId="3" fontId="4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0" fillId="0" borderId="3" xfId="0" applyBorder="1"/>
    <xf numFmtId="0" fontId="0" fillId="0" borderId="5" xfId="0" applyBorder="1"/>
    <xf numFmtId="0" fontId="8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" fontId="0" fillId="0" borderId="5" xfId="0" applyNumberFormat="1" applyBorder="1"/>
    <xf numFmtId="167" fontId="0" fillId="0" borderId="5" xfId="0" applyNumberFormat="1" applyBorder="1"/>
    <xf numFmtId="4" fontId="0" fillId="0" borderId="5" xfId="0" applyNumberFormat="1" applyBorder="1"/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Continuous"/>
    </xf>
  </cellXfs>
  <cellStyles count="2">
    <cellStyle name="Normal" xfId="0" builtinId="0"/>
    <cellStyle name="Normal 2" xfId="1" xr:uid="{943EA597-683C-4A3D-9F83-2C0D511CF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9162-0DAF-4C30-81E5-813811079864}">
  <dimension ref="A1:C18"/>
  <sheetViews>
    <sheetView workbookViewId="0">
      <selection activeCell="E16" sqref="E16"/>
    </sheetView>
  </sheetViews>
  <sheetFormatPr defaultRowHeight="14.4" x14ac:dyDescent="0.3"/>
  <cols>
    <col min="1" max="1" width="24" bestFit="1" customWidth="1"/>
    <col min="3" max="3" width="10.109375" bestFit="1" customWidth="1"/>
  </cols>
  <sheetData>
    <row r="1" spans="1:3" x14ac:dyDescent="0.3">
      <c r="A1" t="s">
        <v>31</v>
      </c>
    </row>
    <row r="3" spans="1:3" x14ac:dyDescent="0.3">
      <c r="A3" t="s">
        <v>32</v>
      </c>
      <c r="B3" t="s">
        <v>33</v>
      </c>
    </row>
    <row r="4" spans="1:3" x14ac:dyDescent="0.3">
      <c r="A4" s="13">
        <v>40424</v>
      </c>
      <c r="B4">
        <v>10550.24</v>
      </c>
      <c r="C4" s="14"/>
    </row>
    <row r="5" spans="1:3" x14ac:dyDescent="0.3">
      <c r="A5" s="13">
        <v>40428</v>
      </c>
      <c r="B5">
        <v>10281.27</v>
      </c>
      <c r="C5" s="14"/>
    </row>
    <row r="6" spans="1:3" x14ac:dyDescent="0.3">
      <c r="A6" s="13">
        <v>40429</v>
      </c>
      <c r="B6">
        <v>10392.61</v>
      </c>
      <c r="C6" s="14"/>
    </row>
    <row r="7" spans="1:3" x14ac:dyDescent="0.3">
      <c r="A7" s="13">
        <v>40430</v>
      </c>
      <c r="B7">
        <v>10451.16</v>
      </c>
      <c r="C7" s="14"/>
    </row>
    <row r="8" spans="1:3" x14ac:dyDescent="0.3">
      <c r="A8" s="13">
        <v>40431</v>
      </c>
      <c r="B8">
        <v>10424.549999999999</v>
      </c>
      <c r="C8" s="14"/>
    </row>
    <row r="9" spans="1:3" x14ac:dyDescent="0.3">
      <c r="A9" s="13">
        <v>40434</v>
      </c>
      <c r="B9">
        <v>10451.92</v>
      </c>
      <c r="C9" s="14"/>
    </row>
    <row r="10" spans="1:3" x14ac:dyDescent="0.3">
      <c r="A10" s="13">
        <v>40435</v>
      </c>
      <c r="B10">
        <v>10434.540000000001</v>
      </c>
      <c r="C10" s="14"/>
    </row>
    <row r="11" spans="1:3" x14ac:dyDescent="0.3">
      <c r="A11" s="13">
        <v>40436</v>
      </c>
      <c r="B11">
        <v>10583.75</v>
      </c>
      <c r="C11" s="14"/>
    </row>
    <row r="12" spans="1:3" x14ac:dyDescent="0.3">
      <c r="A12" s="13">
        <v>40437</v>
      </c>
      <c r="B12">
        <v>10608.97</v>
      </c>
      <c r="C12" s="14"/>
    </row>
    <row r="13" spans="1:3" x14ac:dyDescent="0.3">
      <c r="A13" s="13">
        <v>40438</v>
      </c>
      <c r="B13">
        <v>10521.46</v>
      </c>
      <c r="C13" s="14"/>
    </row>
    <row r="14" spans="1:3" x14ac:dyDescent="0.3">
      <c r="A14" s="13">
        <v>40441</v>
      </c>
      <c r="B14">
        <v>10790.89</v>
      </c>
      <c r="C14" s="14"/>
    </row>
    <row r="15" spans="1:3" x14ac:dyDescent="0.3">
      <c r="A15" s="13">
        <v>40442</v>
      </c>
      <c r="B15">
        <v>10653.91</v>
      </c>
      <c r="C15" s="14"/>
    </row>
    <row r="16" spans="1:3" x14ac:dyDescent="0.3">
      <c r="A16" s="13">
        <v>40443</v>
      </c>
      <c r="C16" s="14"/>
    </row>
    <row r="17" spans="1:3" x14ac:dyDescent="0.3">
      <c r="A17" s="13">
        <v>40444</v>
      </c>
      <c r="C17" s="14"/>
    </row>
    <row r="18" spans="1:3" x14ac:dyDescent="0.3">
      <c r="A18" s="13">
        <v>40445</v>
      </c>
      <c r="C1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zoomScale="96" workbookViewId="0">
      <selection activeCell="Q4" sqref="Q4"/>
    </sheetView>
  </sheetViews>
  <sheetFormatPr defaultRowHeight="14.4" x14ac:dyDescent="0.3"/>
  <cols>
    <col min="1" max="1" width="17.33203125" customWidth="1"/>
    <col min="2" max="2" width="20.6640625" bestFit="1" customWidth="1"/>
    <col min="3" max="3" width="14" bestFit="1" customWidth="1"/>
    <col min="4" max="4" width="17.77734375" bestFit="1" customWidth="1"/>
    <col min="5" max="6" width="12.33203125" bestFit="1" customWidth="1"/>
    <col min="7" max="9" width="9" bestFit="1" customWidth="1"/>
    <col min="16" max="16" width="19.6640625" bestFit="1" customWidth="1"/>
  </cols>
  <sheetData>
    <row r="1" spans="1:17" x14ac:dyDescent="0.3">
      <c r="B1" t="s">
        <v>0</v>
      </c>
      <c r="F1" t="s">
        <v>37</v>
      </c>
      <c r="G1" t="s">
        <v>38</v>
      </c>
      <c r="I1" t="s">
        <v>45</v>
      </c>
      <c r="M1" t="s">
        <v>83</v>
      </c>
    </row>
    <row r="2" spans="1:17" ht="15" thickBot="1" x14ac:dyDescent="0.35">
      <c r="F2">
        <v>0.4</v>
      </c>
      <c r="G2">
        <v>0.9</v>
      </c>
      <c r="M2" t="s">
        <v>84</v>
      </c>
    </row>
    <row r="3" spans="1:17" x14ac:dyDescent="0.3">
      <c r="A3" t="s">
        <v>46</v>
      </c>
      <c r="B3" t="s">
        <v>1</v>
      </c>
      <c r="C3" t="s">
        <v>39</v>
      </c>
      <c r="D3" t="s">
        <v>3</v>
      </c>
      <c r="E3" t="s">
        <v>5</v>
      </c>
      <c r="F3" t="s">
        <v>4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P3" s="27" t="s">
        <v>75</v>
      </c>
      <c r="Q3" t="s">
        <v>76</v>
      </c>
    </row>
    <row r="4" spans="1:17" x14ac:dyDescent="0.3">
      <c r="A4">
        <v>1</v>
      </c>
      <c r="B4" t="s">
        <v>2</v>
      </c>
      <c r="C4">
        <v>244</v>
      </c>
      <c r="D4">
        <f>IF(B4="Feb",1,0)</f>
        <v>0</v>
      </c>
      <c r="E4">
        <f>IF(B4="Mar",1,0)</f>
        <v>0</v>
      </c>
      <c r="F4">
        <f>IF(B4="Apr",1,0)</f>
        <v>0</v>
      </c>
      <c r="G4">
        <f>IF(B4="May",1,0)</f>
        <v>0</v>
      </c>
      <c r="H4">
        <f>IF(B4="Jun",1,0)</f>
        <v>0</v>
      </c>
      <c r="I4">
        <f>IF(B4="Jul",1,0)</f>
        <v>0</v>
      </c>
      <c r="J4">
        <f>IF(B4="Aug",1,0)</f>
        <v>0</v>
      </c>
      <c r="K4">
        <f>IF(B4="Sep",1,0)</f>
        <v>0</v>
      </c>
      <c r="L4">
        <f>IF(B4="Oct",1,0)</f>
        <v>0</v>
      </c>
      <c r="M4">
        <f>IF(B4="Nov",1,0)</f>
        <v>0</v>
      </c>
      <c r="N4">
        <f>IF(B4="Dec",1,0)</f>
        <v>0</v>
      </c>
      <c r="P4">
        <v>237.00000000000006</v>
      </c>
      <c r="Q4">
        <f>C4-P4</f>
        <v>6.9999999999999432</v>
      </c>
    </row>
    <row r="5" spans="1:17" x14ac:dyDescent="0.3">
      <c r="A5">
        <v>2</v>
      </c>
      <c r="B5" t="s">
        <v>3</v>
      </c>
      <c r="C5">
        <v>228</v>
      </c>
      <c r="D5">
        <f t="shared" ref="D5:D27" si="0">IF(B5="Feb",1,0)</f>
        <v>1</v>
      </c>
      <c r="E5">
        <f t="shared" ref="E5:E27" si="1">IF(B5="Mar",1,0)</f>
        <v>0</v>
      </c>
      <c r="F5">
        <f t="shared" ref="F5:F27" si="2">IF(B5="Apr",1,0)</f>
        <v>0</v>
      </c>
      <c r="G5">
        <f t="shared" ref="G5:G27" si="3">IF(B5="May",1,0)</f>
        <v>0</v>
      </c>
      <c r="H5">
        <f t="shared" ref="H5:H27" si="4">IF(B5="Jun",1,0)</f>
        <v>0</v>
      </c>
      <c r="I5">
        <f t="shared" ref="I5:I27" si="5">IF(B5="Jul",1,0)</f>
        <v>0</v>
      </c>
      <c r="J5">
        <f t="shared" ref="J5:J27" si="6">IF(B5="Aug",1,0)</f>
        <v>0</v>
      </c>
      <c r="K5">
        <f t="shared" ref="K5:K27" si="7">IF(B5="Sep",1,0)</f>
        <v>0</v>
      </c>
      <c r="L5">
        <f t="shared" ref="L5:L27" si="8">IF(B5="Oct",1,0)</f>
        <v>0</v>
      </c>
      <c r="M5">
        <f t="shared" ref="M5:M27" si="9">IF(B5="Nov",1,0)</f>
        <v>0</v>
      </c>
      <c r="N5">
        <f t="shared" ref="N5:N27" si="10">IF(B5="Dec",1,0)</f>
        <v>0</v>
      </c>
      <c r="P5">
        <v>236.50000000000009</v>
      </c>
      <c r="Q5">
        <f t="shared" ref="Q5:Q27" si="11">C5-P5</f>
        <v>-8.5000000000000853</v>
      </c>
    </row>
    <row r="6" spans="1:17" x14ac:dyDescent="0.3">
      <c r="A6">
        <v>3</v>
      </c>
      <c r="B6" t="s">
        <v>5</v>
      </c>
      <c r="C6">
        <v>153</v>
      </c>
      <c r="D6">
        <f t="shared" si="0"/>
        <v>0</v>
      </c>
      <c r="E6">
        <f t="shared" si="1"/>
        <v>1</v>
      </c>
      <c r="F6">
        <f t="shared" si="2"/>
        <v>0</v>
      </c>
      <c r="G6">
        <f t="shared" si="3"/>
        <v>0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0</v>
      </c>
      <c r="P6">
        <v>200.00000000000006</v>
      </c>
      <c r="Q6">
        <f t="shared" si="11"/>
        <v>-47.000000000000057</v>
      </c>
    </row>
    <row r="7" spans="1:17" x14ac:dyDescent="0.3">
      <c r="A7">
        <v>4</v>
      </c>
      <c r="B7" t="s">
        <v>4</v>
      </c>
      <c r="C7">
        <v>140</v>
      </c>
      <c r="D7">
        <f t="shared" si="0"/>
        <v>0</v>
      </c>
      <c r="E7">
        <f t="shared" si="1"/>
        <v>0</v>
      </c>
      <c r="F7">
        <f t="shared" si="2"/>
        <v>1</v>
      </c>
      <c r="G7">
        <f t="shared" si="3"/>
        <v>0</v>
      </c>
      <c r="H7">
        <f t="shared" si="4"/>
        <v>0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0</v>
      </c>
      <c r="P7">
        <v>137.49999999999994</v>
      </c>
      <c r="Q7">
        <f t="shared" si="11"/>
        <v>2.5000000000000568</v>
      </c>
    </row>
    <row r="8" spans="1:17" x14ac:dyDescent="0.3">
      <c r="A8">
        <v>5</v>
      </c>
      <c r="B8" t="s">
        <v>6</v>
      </c>
      <c r="C8">
        <v>55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f t="shared" si="4"/>
        <v>0</v>
      </c>
      <c r="I8">
        <f t="shared" si="5"/>
        <v>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0</v>
      </c>
      <c r="P8">
        <v>44.499999999999943</v>
      </c>
      <c r="Q8">
        <f t="shared" si="11"/>
        <v>10.500000000000057</v>
      </c>
    </row>
    <row r="9" spans="1:17" x14ac:dyDescent="0.3">
      <c r="A9">
        <v>6</v>
      </c>
      <c r="B9" t="s">
        <v>7</v>
      </c>
      <c r="C9">
        <v>34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1</v>
      </c>
      <c r="I9">
        <f t="shared" si="5"/>
        <v>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0</v>
      </c>
      <c r="P9">
        <v>33.5</v>
      </c>
      <c r="Q9">
        <f t="shared" si="11"/>
        <v>0.5</v>
      </c>
    </row>
    <row r="10" spans="1:17" x14ac:dyDescent="0.3">
      <c r="A10">
        <v>7</v>
      </c>
      <c r="B10" t="s">
        <v>8</v>
      </c>
      <c r="C10">
        <v>30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0</v>
      </c>
      <c r="I10">
        <f t="shared" si="5"/>
        <v>1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0</v>
      </c>
      <c r="P10">
        <v>28.499999999999972</v>
      </c>
      <c r="Q10">
        <f t="shared" si="11"/>
        <v>1.5000000000000284</v>
      </c>
    </row>
    <row r="11" spans="1:17" x14ac:dyDescent="0.3">
      <c r="A11">
        <v>8</v>
      </c>
      <c r="B11" t="s">
        <v>9</v>
      </c>
      <c r="C11">
        <v>28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f t="shared" si="6"/>
        <v>1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0</v>
      </c>
      <c r="P11">
        <v>27.000000000000085</v>
      </c>
      <c r="Q11">
        <f t="shared" si="11"/>
        <v>0.99999999999991473</v>
      </c>
    </row>
    <row r="12" spans="1:17" x14ac:dyDescent="0.3">
      <c r="A12">
        <v>9</v>
      </c>
      <c r="B12" t="s">
        <v>10</v>
      </c>
      <c r="C12">
        <v>29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1</v>
      </c>
      <c r="L12">
        <f t="shared" si="8"/>
        <v>0</v>
      </c>
      <c r="M12">
        <f t="shared" si="9"/>
        <v>0</v>
      </c>
      <c r="N12">
        <f t="shared" si="10"/>
        <v>0</v>
      </c>
      <c r="P12">
        <v>28.500000000000085</v>
      </c>
      <c r="Q12">
        <f t="shared" si="11"/>
        <v>0.49999999999991473</v>
      </c>
    </row>
    <row r="13" spans="1:17" x14ac:dyDescent="0.3">
      <c r="A13">
        <v>10</v>
      </c>
      <c r="B13" t="s">
        <v>11</v>
      </c>
      <c r="C13">
        <v>41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1</v>
      </c>
      <c r="M13">
        <f t="shared" si="9"/>
        <v>0</v>
      </c>
      <c r="N13">
        <f t="shared" si="10"/>
        <v>0</v>
      </c>
      <c r="P13">
        <v>40</v>
      </c>
      <c r="Q13">
        <f t="shared" si="11"/>
        <v>1</v>
      </c>
    </row>
    <row r="14" spans="1:17" x14ac:dyDescent="0.3">
      <c r="A14">
        <v>11</v>
      </c>
      <c r="B14" t="s">
        <v>12</v>
      </c>
      <c r="C14">
        <v>88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  <c r="I14">
        <f t="shared" si="5"/>
        <v>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1</v>
      </c>
      <c r="N14">
        <f t="shared" si="10"/>
        <v>0</v>
      </c>
      <c r="P14">
        <v>87.000000000000057</v>
      </c>
      <c r="Q14">
        <f t="shared" si="11"/>
        <v>0.99999999999994316</v>
      </c>
    </row>
    <row r="15" spans="1:17" x14ac:dyDescent="0.3">
      <c r="A15">
        <v>12</v>
      </c>
      <c r="B15" t="s">
        <v>13</v>
      </c>
      <c r="C15">
        <v>199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1</v>
      </c>
      <c r="P15">
        <v>193.5</v>
      </c>
      <c r="Q15">
        <f t="shared" si="11"/>
        <v>5.5</v>
      </c>
    </row>
    <row r="16" spans="1:17" x14ac:dyDescent="0.3">
      <c r="A16">
        <v>13</v>
      </c>
      <c r="B16" t="s">
        <v>2</v>
      </c>
      <c r="C16">
        <v>230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0</v>
      </c>
      <c r="P16">
        <v>237.00000000000006</v>
      </c>
      <c r="Q16">
        <f t="shared" si="11"/>
        <v>-7.0000000000000568</v>
      </c>
    </row>
    <row r="17" spans="1:17" x14ac:dyDescent="0.3">
      <c r="A17">
        <v>14</v>
      </c>
      <c r="B17" t="s">
        <v>3</v>
      </c>
      <c r="C17">
        <v>245</v>
      </c>
      <c r="D17">
        <f t="shared" si="0"/>
        <v>1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4"/>
        <v>0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0</v>
      </c>
      <c r="P17">
        <v>236.50000000000009</v>
      </c>
      <c r="Q17">
        <f t="shared" si="11"/>
        <v>8.4999999999999147</v>
      </c>
    </row>
    <row r="18" spans="1:17" x14ac:dyDescent="0.3">
      <c r="A18">
        <v>15</v>
      </c>
      <c r="B18" t="s">
        <v>5</v>
      </c>
      <c r="C18">
        <v>247</v>
      </c>
      <c r="D18">
        <f t="shared" si="0"/>
        <v>0</v>
      </c>
      <c r="E18">
        <f t="shared" si="1"/>
        <v>1</v>
      </c>
      <c r="F18">
        <f t="shared" si="2"/>
        <v>0</v>
      </c>
      <c r="G18">
        <f t="shared" si="3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0</v>
      </c>
      <c r="P18">
        <v>200.00000000000006</v>
      </c>
      <c r="Q18">
        <f t="shared" si="11"/>
        <v>46.999999999999943</v>
      </c>
    </row>
    <row r="19" spans="1:17" x14ac:dyDescent="0.3">
      <c r="A19">
        <v>16</v>
      </c>
      <c r="B19" t="s">
        <v>4</v>
      </c>
      <c r="C19">
        <v>135</v>
      </c>
      <c r="D19">
        <f t="shared" si="0"/>
        <v>0</v>
      </c>
      <c r="E19">
        <f t="shared" si="1"/>
        <v>0</v>
      </c>
      <c r="F19">
        <f t="shared" si="2"/>
        <v>1</v>
      </c>
      <c r="G19">
        <f t="shared" si="3"/>
        <v>0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0</v>
      </c>
      <c r="P19">
        <v>137.49999999999994</v>
      </c>
      <c r="Q19">
        <f t="shared" si="11"/>
        <v>-2.4999999999999432</v>
      </c>
    </row>
    <row r="20" spans="1:17" x14ac:dyDescent="0.3">
      <c r="A20">
        <v>17</v>
      </c>
      <c r="B20" t="s">
        <v>6</v>
      </c>
      <c r="C20">
        <v>34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1</v>
      </c>
      <c r="H20">
        <f t="shared" si="4"/>
        <v>0</v>
      </c>
      <c r="I20">
        <f t="shared" si="5"/>
        <v>0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0</v>
      </c>
      <c r="P20">
        <v>44.499999999999943</v>
      </c>
      <c r="Q20">
        <f t="shared" si="11"/>
        <v>-10.499999999999943</v>
      </c>
    </row>
    <row r="21" spans="1:17" x14ac:dyDescent="0.3">
      <c r="A21">
        <v>18</v>
      </c>
      <c r="B21" t="s">
        <v>7</v>
      </c>
      <c r="C21">
        <v>33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1</v>
      </c>
      <c r="I21">
        <f t="shared" si="5"/>
        <v>0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0</v>
      </c>
      <c r="P21">
        <v>33.5</v>
      </c>
      <c r="Q21">
        <f t="shared" si="11"/>
        <v>-0.5</v>
      </c>
    </row>
    <row r="22" spans="1:17" x14ac:dyDescent="0.3">
      <c r="A22">
        <v>19</v>
      </c>
      <c r="B22" t="s">
        <v>8</v>
      </c>
      <c r="C22">
        <v>27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  <c r="I22">
        <f t="shared" si="5"/>
        <v>1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0</v>
      </c>
      <c r="P22">
        <v>28.499999999999972</v>
      </c>
      <c r="Q22">
        <f t="shared" si="11"/>
        <v>-1.4999999999999716</v>
      </c>
    </row>
    <row r="23" spans="1:17" x14ac:dyDescent="0.3">
      <c r="A23">
        <v>20</v>
      </c>
      <c r="B23" t="s">
        <v>9</v>
      </c>
      <c r="C23">
        <v>26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1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0</v>
      </c>
      <c r="P23">
        <v>27.000000000000085</v>
      </c>
      <c r="Q23">
        <f t="shared" si="11"/>
        <v>-1.0000000000000853</v>
      </c>
    </row>
    <row r="24" spans="1:17" x14ac:dyDescent="0.3">
      <c r="A24">
        <v>21</v>
      </c>
      <c r="B24" t="s">
        <v>10</v>
      </c>
      <c r="C24">
        <v>28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7"/>
        <v>1</v>
      </c>
      <c r="L24">
        <f t="shared" si="8"/>
        <v>0</v>
      </c>
      <c r="M24">
        <f t="shared" si="9"/>
        <v>0</v>
      </c>
      <c r="N24">
        <f t="shared" si="10"/>
        <v>0</v>
      </c>
      <c r="P24">
        <v>28.500000000000085</v>
      </c>
      <c r="Q24">
        <f t="shared" si="11"/>
        <v>-0.50000000000008527</v>
      </c>
    </row>
    <row r="25" spans="1:17" x14ac:dyDescent="0.3">
      <c r="A25">
        <v>22</v>
      </c>
      <c r="B25" t="s">
        <v>11</v>
      </c>
      <c r="C25">
        <v>39</v>
      </c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0</v>
      </c>
      <c r="L25">
        <f t="shared" si="8"/>
        <v>1</v>
      </c>
      <c r="M25">
        <f t="shared" si="9"/>
        <v>0</v>
      </c>
      <c r="N25">
        <f t="shared" si="10"/>
        <v>0</v>
      </c>
      <c r="P25">
        <v>40</v>
      </c>
      <c r="Q25">
        <f t="shared" si="11"/>
        <v>-1</v>
      </c>
    </row>
    <row r="26" spans="1:17" x14ac:dyDescent="0.3">
      <c r="A26">
        <v>23</v>
      </c>
      <c r="B26" t="s">
        <v>12</v>
      </c>
      <c r="C26">
        <v>86</v>
      </c>
      <c r="D26">
        <f t="shared" si="0"/>
        <v>0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1</v>
      </c>
      <c r="N26">
        <f t="shared" si="10"/>
        <v>0</v>
      </c>
      <c r="P26">
        <v>87.000000000000057</v>
      </c>
      <c r="Q26">
        <f t="shared" si="11"/>
        <v>-1.0000000000000568</v>
      </c>
    </row>
    <row r="27" spans="1:17" ht="15" thickBot="1" x14ac:dyDescent="0.35">
      <c r="A27">
        <v>24</v>
      </c>
      <c r="B27" t="s">
        <v>13</v>
      </c>
      <c r="C27">
        <v>188</v>
      </c>
      <c r="D27">
        <f t="shared" si="0"/>
        <v>0</v>
      </c>
      <c r="E27">
        <f t="shared" si="1"/>
        <v>0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  <c r="N27">
        <f t="shared" si="10"/>
        <v>1</v>
      </c>
      <c r="P27" s="15">
        <v>193.5</v>
      </c>
      <c r="Q27">
        <f t="shared" si="11"/>
        <v>-5.5</v>
      </c>
    </row>
    <row r="30" spans="1:17" x14ac:dyDescent="0.3">
      <c r="A30" t="s">
        <v>47</v>
      </c>
    </row>
    <row r="31" spans="1:17" ht="15" thickBot="1" x14ac:dyDescent="0.35"/>
    <row r="32" spans="1:17" x14ac:dyDescent="0.3">
      <c r="A32" s="28" t="s">
        <v>48</v>
      </c>
      <c r="B32" s="28"/>
    </row>
    <row r="33" spans="1:9" x14ac:dyDescent="0.3">
      <c r="A33" t="s">
        <v>49</v>
      </c>
      <c r="B33">
        <v>0.98548163143795053</v>
      </c>
    </row>
    <row r="34" spans="1:9" x14ac:dyDescent="0.3">
      <c r="A34" t="s">
        <v>50</v>
      </c>
      <c r="B34">
        <v>0.9711740459016045</v>
      </c>
    </row>
    <row r="35" spans="1:9" x14ac:dyDescent="0.3">
      <c r="A35" t="s">
        <v>51</v>
      </c>
      <c r="B35">
        <v>0.94475025464474205</v>
      </c>
    </row>
    <row r="36" spans="1:9" x14ac:dyDescent="0.3">
      <c r="A36" t="s">
        <v>52</v>
      </c>
      <c r="B36">
        <v>20.341869792786149</v>
      </c>
    </row>
    <row r="37" spans="1:9" ht="15" thickBot="1" x14ac:dyDescent="0.35">
      <c r="A37" s="15" t="s">
        <v>53</v>
      </c>
      <c r="B37" s="15">
        <v>24</v>
      </c>
    </row>
    <row r="39" spans="1:9" ht="15" thickBot="1" x14ac:dyDescent="0.35">
      <c r="A39" t="s">
        <v>54</v>
      </c>
    </row>
    <row r="40" spans="1:9" x14ac:dyDescent="0.3">
      <c r="A40" s="27"/>
      <c r="B40" s="27" t="s">
        <v>59</v>
      </c>
      <c r="C40" s="27" t="s">
        <v>60</v>
      </c>
      <c r="D40" s="27" t="s">
        <v>61</v>
      </c>
      <c r="E40" s="27" t="s">
        <v>62</v>
      </c>
      <c r="F40" s="27" t="s">
        <v>63</v>
      </c>
    </row>
    <row r="41" spans="1:9" x14ac:dyDescent="0.3">
      <c r="A41" t="s">
        <v>55</v>
      </c>
      <c r="B41">
        <v>11</v>
      </c>
      <c r="C41">
        <v>167292.45833333337</v>
      </c>
      <c r="D41">
        <v>15208.405303030306</v>
      </c>
      <c r="E41">
        <v>36.753773766260025</v>
      </c>
      <c r="F41">
        <v>1.6187908901454236E-7</v>
      </c>
    </row>
    <row r="42" spans="1:9" x14ac:dyDescent="0.3">
      <c r="A42" t="s">
        <v>56</v>
      </c>
      <c r="B42">
        <v>12</v>
      </c>
      <c r="C42">
        <v>4965.4999999999864</v>
      </c>
      <c r="D42">
        <v>413.79166666666555</v>
      </c>
    </row>
    <row r="43" spans="1:9" ht="15" thickBot="1" x14ac:dyDescent="0.35">
      <c r="A43" s="15" t="s">
        <v>57</v>
      </c>
      <c r="B43" s="15">
        <v>23</v>
      </c>
      <c r="C43" s="15">
        <v>172257.95833333337</v>
      </c>
      <c r="D43" s="15"/>
      <c r="E43" s="15"/>
      <c r="F43" s="15"/>
    </row>
    <row r="44" spans="1:9" ht="15" thickBot="1" x14ac:dyDescent="0.35"/>
    <row r="45" spans="1:9" x14ac:dyDescent="0.3">
      <c r="A45" s="27"/>
      <c r="B45" s="27" t="s">
        <v>64</v>
      </c>
      <c r="C45" s="27" t="s">
        <v>52</v>
      </c>
      <c r="D45" s="27" t="s">
        <v>65</v>
      </c>
      <c r="E45" s="27" t="s">
        <v>66</v>
      </c>
      <c r="F45" s="27" t="s">
        <v>67</v>
      </c>
      <c r="G45" s="27" t="s">
        <v>68</v>
      </c>
      <c r="H45" s="27" t="s">
        <v>69</v>
      </c>
      <c r="I45" s="27" t="s">
        <v>70</v>
      </c>
    </row>
    <row r="46" spans="1:9" x14ac:dyDescent="0.3">
      <c r="A46" t="s">
        <v>58</v>
      </c>
      <c r="B46">
        <v>237.00000000000006</v>
      </c>
      <c r="C46">
        <v>14.383874072492878</v>
      </c>
      <c r="D46">
        <v>16.476784961099526</v>
      </c>
      <c r="E46">
        <v>1.3220691715974603E-9</v>
      </c>
      <c r="F46">
        <v>205.66023063053478</v>
      </c>
      <c r="G46">
        <v>268.33976936946533</v>
      </c>
      <c r="H46">
        <v>205.66023063053478</v>
      </c>
      <c r="I46">
        <v>268.33976936946533</v>
      </c>
    </row>
    <row r="47" spans="1:9" x14ac:dyDescent="0.3">
      <c r="A47" t="s">
        <v>3</v>
      </c>
      <c r="B47">
        <v>-0.49999999999998085</v>
      </c>
      <c r="C47">
        <v>20.341869792786166</v>
      </c>
      <c r="D47">
        <v>-2.4579844679631944E-2</v>
      </c>
      <c r="E47">
        <v>0.98079411129604088</v>
      </c>
      <c r="F47">
        <v>-44.821126883942725</v>
      </c>
      <c r="G47">
        <v>43.821126883942767</v>
      </c>
      <c r="H47">
        <v>-44.821126883942725</v>
      </c>
      <c r="I47">
        <v>43.821126883942767</v>
      </c>
    </row>
    <row r="48" spans="1:9" x14ac:dyDescent="0.3">
      <c r="A48" t="s">
        <v>5</v>
      </c>
      <c r="B48">
        <v>-37</v>
      </c>
      <c r="C48">
        <v>20.341869792786149</v>
      </c>
      <c r="D48">
        <v>-1.8189085062928352</v>
      </c>
      <c r="E48">
        <v>9.3952796423275392E-2</v>
      </c>
      <c r="F48">
        <v>-81.321126883942696</v>
      </c>
      <c r="G48">
        <v>7.3211268839427035</v>
      </c>
      <c r="H48">
        <v>-81.321126883942696</v>
      </c>
      <c r="I48">
        <v>7.3211268839427035</v>
      </c>
    </row>
    <row r="49" spans="1:9" x14ac:dyDescent="0.3">
      <c r="A49" t="s">
        <v>4</v>
      </c>
      <c r="B49">
        <v>-99.500000000000099</v>
      </c>
      <c r="C49">
        <v>20.341869792786156</v>
      </c>
      <c r="D49">
        <v>-4.8913890912469524</v>
      </c>
      <c r="E49">
        <v>3.7130435520268138E-4</v>
      </c>
      <c r="F49">
        <v>-143.82112688394284</v>
      </c>
      <c r="G49">
        <v>-55.178873116057375</v>
      </c>
      <c r="H49">
        <v>-143.82112688394284</v>
      </c>
      <c r="I49">
        <v>-55.178873116057375</v>
      </c>
    </row>
    <row r="50" spans="1:9" x14ac:dyDescent="0.3">
      <c r="A50" t="s">
        <v>6</v>
      </c>
      <c r="B50">
        <v>-192.50000000000011</v>
      </c>
      <c r="C50">
        <v>20.341869792786156</v>
      </c>
      <c r="D50">
        <v>-9.4632402016586727</v>
      </c>
      <c r="E50">
        <v>6.4785280482564862E-7</v>
      </c>
      <c r="F50">
        <v>-236.82112688394284</v>
      </c>
      <c r="G50">
        <v>-148.17887311605739</v>
      </c>
      <c r="H50">
        <v>-236.82112688394284</v>
      </c>
      <c r="I50">
        <v>-148.17887311605739</v>
      </c>
    </row>
    <row r="51" spans="1:9" x14ac:dyDescent="0.3">
      <c r="A51" t="s">
        <v>7</v>
      </c>
      <c r="B51">
        <v>-203.50000000000006</v>
      </c>
      <c r="C51">
        <v>20.341869792786156</v>
      </c>
      <c r="D51">
        <v>-10.003996784610592</v>
      </c>
      <c r="E51">
        <v>3.5658936330217219E-7</v>
      </c>
      <c r="F51">
        <v>-247.82112688394278</v>
      </c>
      <c r="G51">
        <v>-159.17887311605733</v>
      </c>
      <c r="H51">
        <v>-247.82112688394278</v>
      </c>
      <c r="I51">
        <v>-159.17887311605733</v>
      </c>
    </row>
    <row r="52" spans="1:9" x14ac:dyDescent="0.3">
      <c r="A52" t="s">
        <v>8</v>
      </c>
      <c r="B52">
        <v>-208.50000000000009</v>
      </c>
      <c r="C52">
        <v>20.341869792786149</v>
      </c>
      <c r="D52">
        <v>-10.249795231406928</v>
      </c>
      <c r="E52">
        <v>2.7415011686156258E-7</v>
      </c>
      <c r="F52">
        <v>-252.82112688394278</v>
      </c>
      <c r="G52">
        <v>-164.17887311605739</v>
      </c>
      <c r="H52">
        <v>-252.82112688394278</v>
      </c>
      <c r="I52">
        <v>-164.17887311605739</v>
      </c>
    </row>
    <row r="53" spans="1:9" x14ac:dyDescent="0.3">
      <c r="A53" t="s">
        <v>9</v>
      </c>
      <c r="B53">
        <v>-209.99999999999997</v>
      </c>
      <c r="C53">
        <v>20.341869792786145</v>
      </c>
      <c r="D53">
        <v>-10.323534765445823</v>
      </c>
      <c r="E53">
        <v>2.5361007623533981E-7</v>
      </c>
      <c r="F53">
        <v>-254.32112688394267</v>
      </c>
      <c r="G53">
        <v>-165.67887311605728</v>
      </c>
      <c r="H53">
        <v>-254.32112688394267</v>
      </c>
      <c r="I53">
        <v>-165.67887311605728</v>
      </c>
    </row>
    <row r="54" spans="1:9" x14ac:dyDescent="0.3">
      <c r="A54" t="s">
        <v>10</v>
      </c>
      <c r="B54">
        <v>-208.49999999999997</v>
      </c>
      <c r="C54">
        <v>20.341869792786145</v>
      </c>
      <c r="D54">
        <v>-10.249795231406923</v>
      </c>
      <c r="E54">
        <v>2.7415011686156406E-7</v>
      </c>
      <c r="F54">
        <v>-252.82112688394267</v>
      </c>
      <c r="G54">
        <v>-164.17887311605728</v>
      </c>
      <c r="H54">
        <v>-252.82112688394267</v>
      </c>
      <c r="I54">
        <v>-164.17887311605728</v>
      </c>
    </row>
    <row r="55" spans="1:9" x14ac:dyDescent="0.3">
      <c r="A55" t="s">
        <v>11</v>
      </c>
      <c r="B55">
        <v>-197.00000000000006</v>
      </c>
      <c r="C55">
        <v>20.341869792786149</v>
      </c>
      <c r="D55">
        <v>-9.6844588037753692</v>
      </c>
      <c r="E55">
        <v>5.0583941020348454E-7</v>
      </c>
      <c r="F55">
        <v>-241.32112688394275</v>
      </c>
      <c r="G55">
        <v>-152.67887311605736</v>
      </c>
      <c r="H55">
        <v>-241.32112688394275</v>
      </c>
      <c r="I55">
        <v>-152.67887311605736</v>
      </c>
    </row>
    <row r="56" spans="1:9" x14ac:dyDescent="0.3">
      <c r="A56" t="s">
        <v>12</v>
      </c>
      <c r="B56">
        <v>-150</v>
      </c>
      <c r="C56">
        <v>20.341869792786145</v>
      </c>
      <c r="D56">
        <v>-7.3739534038898737</v>
      </c>
      <c r="E56">
        <v>8.5711321232664763E-6</v>
      </c>
      <c r="F56">
        <v>-194.3211268839427</v>
      </c>
      <c r="G56">
        <v>-105.6788731160573</v>
      </c>
      <c r="H56">
        <v>-194.3211268839427</v>
      </c>
      <c r="I56">
        <v>-105.6788731160573</v>
      </c>
    </row>
    <row r="57" spans="1:9" ht="15" thickBot="1" x14ac:dyDescent="0.35">
      <c r="A57" s="15" t="s">
        <v>13</v>
      </c>
      <c r="B57" s="15">
        <v>-43.500000000000057</v>
      </c>
      <c r="C57" s="15">
        <v>20.341869792786138</v>
      </c>
      <c r="D57" s="15">
        <v>-2.1384464871280668</v>
      </c>
      <c r="E57" s="15">
        <v>5.3739728425943274E-2</v>
      </c>
      <c r="F57" s="15">
        <v>-87.821126883942739</v>
      </c>
      <c r="G57" s="15">
        <v>0.82112688394262534</v>
      </c>
      <c r="H57" s="15">
        <v>-87.821126883942739</v>
      </c>
      <c r="I57" s="15">
        <v>0.82112688394262534</v>
      </c>
    </row>
    <row r="61" spans="1:9" x14ac:dyDescent="0.3">
      <c r="A61" t="s">
        <v>71</v>
      </c>
    </row>
    <row r="62" spans="1:9" ht="15" thickBot="1" x14ac:dyDescent="0.35"/>
    <row r="63" spans="1:9" x14ac:dyDescent="0.3">
      <c r="A63" s="27" t="s">
        <v>72</v>
      </c>
      <c r="B63" s="27" t="s">
        <v>75</v>
      </c>
      <c r="C63" s="27" t="s">
        <v>73</v>
      </c>
      <c r="D63" s="27" t="s">
        <v>74</v>
      </c>
    </row>
    <row r="64" spans="1:9" x14ac:dyDescent="0.3">
      <c r="A64">
        <v>1</v>
      </c>
      <c r="B64">
        <v>237.00000000000006</v>
      </c>
      <c r="C64">
        <v>6.9999999999999432</v>
      </c>
      <c r="D64">
        <v>0.47640955684619885</v>
      </c>
    </row>
    <row r="65" spans="1:4" x14ac:dyDescent="0.3">
      <c r="A65">
        <v>2</v>
      </c>
      <c r="B65">
        <v>236.50000000000009</v>
      </c>
      <c r="C65">
        <v>-8.5000000000000853</v>
      </c>
      <c r="D65">
        <v>-0.57849731902753765</v>
      </c>
    </row>
    <row r="66" spans="1:4" x14ac:dyDescent="0.3">
      <c r="A66">
        <v>3</v>
      </c>
      <c r="B66">
        <v>200.00000000000006</v>
      </c>
      <c r="C66">
        <v>-47.000000000000057</v>
      </c>
      <c r="D66">
        <v>-3.1987498816816506</v>
      </c>
    </row>
    <row r="67" spans="1:4" x14ac:dyDescent="0.3">
      <c r="A67">
        <v>4</v>
      </c>
      <c r="B67">
        <v>137.49999999999994</v>
      </c>
      <c r="C67">
        <v>2.5000000000000568</v>
      </c>
      <c r="D67">
        <v>0.17014627030221913</v>
      </c>
    </row>
    <row r="68" spans="1:4" x14ac:dyDescent="0.3">
      <c r="A68">
        <v>5</v>
      </c>
      <c r="B68">
        <v>44.499999999999943</v>
      </c>
      <c r="C68">
        <v>10.500000000000057</v>
      </c>
      <c r="D68">
        <v>0.71461433526930795</v>
      </c>
    </row>
    <row r="69" spans="1:4" x14ac:dyDescent="0.3">
      <c r="A69">
        <v>6</v>
      </c>
      <c r="B69">
        <v>33.5</v>
      </c>
      <c r="C69">
        <v>0.5</v>
      </c>
      <c r="D69">
        <v>3.4029254060443055E-2</v>
      </c>
    </row>
    <row r="70" spans="1:4" x14ac:dyDescent="0.3">
      <c r="A70">
        <v>7</v>
      </c>
      <c r="B70">
        <v>28.499999999999972</v>
      </c>
      <c r="C70">
        <v>1.5000000000000284</v>
      </c>
      <c r="D70">
        <v>0.10208776218133109</v>
      </c>
    </row>
    <row r="71" spans="1:4" x14ac:dyDescent="0.3">
      <c r="A71">
        <v>8</v>
      </c>
      <c r="B71">
        <v>27.000000000000085</v>
      </c>
      <c r="C71">
        <v>0.99999999999991473</v>
      </c>
      <c r="D71">
        <v>6.8058508120880296E-2</v>
      </c>
    </row>
    <row r="72" spans="1:4" x14ac:dyDescent="0.3">
      <c r="A72">
        <v>9</v>
      </c>
      <c r="B72">
        <v>28.500000000000085</v>
      </c>
      <c r="C72">
        <v>0.49999999999991473</v>
      </c>
      <c r="D72">
        <v>3.4029254060437247E-2</v>
      </c>
    </row>
    <row r="73" spans="1:4" x14ac:dyDescent="0.3">
      <c r="A73">
        <v>10</v>
      </c>
      <c r="B73">
        <v>40</v>
      </c>
      <c r="C73">
        <v>1</v>
      </c>
      <c r="D73">
        <v>6.805850812088611E-2</v>
      </c>
    </row>
    <row r="74" spans="1:4" x14ac:dyDescent="0.3">
      <c r="A74">
        <v>11</v>
      </c>
      <c r="B74">
        <v>87.000000000000057</v>
      </c>
      <c r="C74">
        <v>0.99999999999994316</v>
      </c>
      <c r="D74">
        <v>6.8058508120882238E-2</v>
      </c>
    </row>
    <row r="75" spans="1:4" x14ac:dyDescent="0.3">
      <c r="A75">
        <v>12</v>
      </c>
      <c r="B75">
        <v>193.5</v>
      </c>
      <c r="C75">
        <v>5.5</v>
      </c>
      <c r="D75">
        <v>0.37432179466487359</v>
      </c>
    </row>
    <row r="76" spans="1:4" x14ac:dyDescent="0.3">
      <c r="A76">
        <v>13</v>
      </c>
      <c r="B76">
        <v>237.00000000000006</v>
      </c>
      <c r="C76">
        <v>-7.0000000000000568</v>
      </c>
      <c r="D76">
        <v>-0.47640955684620662</v>
      </c>
    </row>
    <row r="77" spans="1:4" x14ac:dyDescent="0.3">
      <c r="A77">
        <v>14</v>
      </c>
      <c r="B77">
        <v>236.50000000000009</v>
      </c>
      <c r="C77">
        <v>8.4999999999999147</v>
      </c>
      <c r="D77">
        <v>0.5784973190275261</v>
      </c>
    </row>
    <row r="78" spans="1:4" x14ac:dyDescent="0.3">
      <c r="A78">
        <v>15</v>
      </c>
      <c r="B78">
        <v>200.00000000000006</v>
      </c>
      <c r="C78">
        <v>46.999999999999943</v>
      </c>
      <c r="D78">
        <v>3.1987498816816431</v>
      </c>
    </row>
    <row r="79" spans="1:4" x14ac:dyDescent="0.3">
      <c r="A79">
        <v>16</v>
      </c>
      <c r="B79">
        <v>137.49999999999994</v>
      </c>
      <c r="C79">
        <v>-2.4999999999999432</v>
      </c>
      <c r="D79">
        <v>-0.17014627030221138</v>
      </c>
    </row>
    <row r="80" spans="1:4" x14ac:dyDescent="0.3">
      <c r="A80">
        <v>17</v>
      </c>
      <c r="B80">
        <v>44.499999999999943</v>
      </c>
      <c r="C80">
        <v>-10.499999999999943</v>
      </c>
      <c r="D80">
        <v>-0.71461433526930029</v>
      </c>
    </row>
    <row r="81" spans="1:4" x14ac:dyDescent="0.3">
      <c r="A81">
        <v>18</v>
      </c>
      <c r="B81">
        <v>33.5</v>
      </c>
      <c r="C81">
        <v>-0.5</v>
      </c>
      <c r="D81">
        <v>-3.4029254060443055E-2</v>
      </c>
    </row>
    <row r="82" spans="1:4" x14ac:dyDescent="0.3">
      <c r="A82">
        <v>19</v>
      </c>
      <c r="B82">
        <v>28.499999999999972</v>
      </c>
      <c r="C82">
        <v>-1.4999999999999716</v>
      </c>
      <c r="D82">
        <v>-0.10208776218132723</v>
      </c>
    </row>
    <row r="83" spans="1:4" x14ac:dyDescent="0.3">
      <c r="A83">
        <v>20</v>
      </c>
      <c r="B83">
        <v>27.000000000000085</v>
      </c>
      <c r="C83">
        <v>-1.0000000000000853</v>
      </c>
      <c r="D83">
        <v>-6.8058508120891911E-2</v>
      </c>
    </row>
    <row r="84" spans="1:4" x14ac:dyDescent="0.3">
      <c r="A84">
        <v>21</v>
      </c>
      <c r="B84">
        <v>28.500000000000085</v>
      </c>
      <c r="C84">
        <v>-0.50000000000008527</v>
      </c>
      <c r="D84">
        <v>-3.4029254060448856E-2</v>
      </c>
    </row>
    <row r="85" spans="1:4" x14ac:dyDescent="0.3">
      <c r="A85">
        <v>22</v>
      </c>
      <c r="B85">
        <v>40</v>
      </c>
      <c r="C85">
        <v>-1</v>
      </c>
      <c r="D85">
        <v>-6.805850812088611E-2</v>
      </c>
    </row>
    <row r="86" spans="1:4" x14ac:dyDescent="0.3">
      <c r="A86">
        <v>23</v>
      </c>
      <c r="B86">
        <v>87.000000000000057</v>
      </c>
      <c r="C86">
        <v>-1.0000000000000568</v>
      </c>
      <c r="D86">
        <v>-6.8058508120889968E-2</v>
      </c>
    </row>
    <row r="87" spans="1:4" ht="15" thickBot="1" x14ac:dyDescent="0.35">
      <c r="A87" s="15">
        <v>24</v>
      </c>
      <c r="B87" s="15">
        <v>193.5</v>
      </c>
      <c r="C87" s="15">
        <v>-5.5</v>
      </c>
      <c r="D87" s="15">
        <v>-0.37432179466487359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9621-BA54-45FA-B303-4AABB55F1499}">
  <dimension ref="A1:I29"/>
  <sheetViews>
    <sheetView topLeftCell="B10" zoomScale="124" workbookViewId="0">
      <selection activeCell="E16" sqref="E16"/>
    </sheetView>
  </sheetViews>
  <sheetFormatPr defaultRowHeight="14.4" x14ac:dyDescent="0.3"/>
  <cols>
    <col min="1" max="1" width="11.44140625" bestFit="1" customWidth="1"/>
    <col min="2" max="2" width="19.5546875" bestFit="1" customWidth="1"/>
    <col min="3" max="3" width="10.21875" bestFit="1" customWidth="1"/>
    <col min="4" max="4" width="10.5546875" bestFit="1" customWidth="1"/>
    <col min="5" max="5" width="12.6640625" bestFit="1" customWidth="1"/>
    <col min="6" max="6" width="10" bestFit="1" customWidth="1"/>
  </cols>
  <sheetData>
    <row r="1" spans="1:9" x14ac:dyDescent="0.3">
      <c r="B1" t="s">
        <v>0</v>
      </c>
      <c r="G1" t="s">
        <v>37</v>
      </c>
      <c r="H1" t="s">
        <v>38</v>
      </c>
      <c r="I1" t="s">
        <v>77</v>
      </c>
    </row>
    <row r="2" spans="1:9" x14ac:dyDescent="0.3">
      <c r="G2">
        <v>0.4</v>
      </c>
      <c r="H2">
        <v>0.9</v>
      </c>
    </row>
    <row r="3" spans="1:9" x14ac:dyDescent="0.3">
      <c r="A3" t="s">
        <v>46</v>
      </c>
      <c r="B3" t="s">
        <v>1</v>
      </c>
      <c r="C3" t="s">
        <v>39</v>
      </c>
      <c r="D3" t="s">
        <v>80</v>
      </c>
      <c r="E3" t="s">
        <v>78</v>
      </c>
      <c r="F3" t="s">
        <v>79</v>
      </c>
      <c r="G3" t="s">
        <v>76</v>
      </c>
      <c r="H3" t="s">
        <v>81</v>
      </c>
    </row>
    <row r="4" spans="1:9" x14ac:dyDescent="0.3">
      <c r="A4">
        <v>1</v>
      </c>
      <c r="B4" t="s">
        <v>2</v>
      </c>
      <c r="C4">
        <v>244</v>
      </c>
      <c r="D4">
        <f>AVERAGE(C4:C15)</f>
        <v>105.75</v>
      </c>
      <c r="E4">
        <f>C4-D4</f>
        <v>138.25</v>
      </c>
    </row>
    <row r="5" spans="1:9" x14ac:dyDescent="0.3">
      <c r="A5">
        <v>2</v>
      </c>
      <c r="B5" t="s">
        <v>3</v>
      </c>
      <c r="C5">
        <v>228</v>
      </c>
      <c r="D5">
        <f>D4</f>
        <v>105.75</v>
      </c>
      <c r="E5">
        <f t="shared" ref="E5:E15" si="0">C5-D5</f>
        <v>122.25</v>
      </c>
    </row>
    <row r="6" spans="1:9" x14ac:dyDescent="0.3">
      <c r="A6">
        <v>3</v>
      </c>
      <c r="B6" t="s">
        <v>5</v>
      </c>
      <c r="C6">
        <v>153</v>
      </c>
      <c r="D6">
        <f t="shared" ref="D6:D15" si="1">D5</f>
        <v>105.75</v>
      </c>
      <c r="E6">
        <f t="shared" si="0"/>
        <v>47.25</v>
      </c>
    </row>
    <row r="7" spans="1:9" x14ac:dyDescent="0.3">
      <c r="A7">
        <v>4</v>
      </c>
      <c r="B7" t="s">
        <v>4</v>
      </c>
      <c r="C7">
        <v>140</v>
      </c>
      <c r="D7">
        <f t="shared" si="1"/>
        <v>105.75</v>
      </c>
      <c r="E7">
        <f t="shared" si="0"/>
        <v>34.25</v>
      </c>
    </row>
    <row r="8" spans="1:9" x14ac:dyDescent="0.3">
      <c r="A8">
        <v>5</v>
      </c>
      <c r="B8" t="s">
        <v>6</v>
      </c>
      <c r="C8">
        <v>55</v>
      </c>
      <c r="D8">
        <f t="shared" si="1"/>
        <v>105.75</v>
      </c>
      <c r="E8">
        <f t="shared" si="0"/>
        <v>-50.75</v>
      </c>
    </row>
    <row r="9" spans="1:9" x14ac:dyDescent="0.3">
      <c r="A9">
        <v>6</v>
      </c>
      <c r="B9" t="s">
        <v>7</v>
      </c>
      <c r="C9">
        <v>34</v>
      </c>
      <c r="D9">
        <f t="shared" si="1"/>
        <v>105.75</v>
      </c>
      <c r="E9">
        <f t="shared" si="0"/>
        <v>-71.75</v>
      </c>
    </row>
    <row r="10" spans="1:9" x14ac:dyDescent="0.3">
      <c r="A10">
        <v>7</v>
      </c>
      <c r="B10" t="s">
        <v>8</v>
      </c>
      <c r="C10">
        <v>30</v>
      </c>
      <c r="D10">
        <f t="shared" si="1"/>
        <v>105.75</v>
      </c>
      <c r="E10">
        <f t="shared" si="0"/>
        <v>-75.75</v>
      </c>
    </row>
    <row r="11" spans="1:9" x14ac:dyDescent="0.3">
      <c r="A11">
        <v>8</v>
      </c>
      <c r="B11" t="s">
        <v>9</v>
      </c>
      <c r="C11">
        <v>28</v>
      </c>
      <c r="D11">
        <f t="shared" si="1"/>
        <v>105.75</v>
      </c>
      <c r="E11">
        <f t="shared" si="0"/>
        <v>-77.75</v>
      </c>
    </row>
    <row r="12" spans="1:9" x14ac:dyDescent="0.3">
      <c r="A12">
        <v>9</v>
      </c>
      <c r="B12" t="s">
        <v>10</v>
      </c>
      <c r="C12">
        <v>29</v>
      </c>
      <c r="D12">
        <f t="shared" si="1"/>
        <v>105.75</v>
      </c>
      <c r="E12">
        <f t="shared" si="0"/>
        <v>-76.75</v>
      </c>
    </row>
    <row r="13" spans="1:9" x14ac:dyDescent="0.3">
      <c r="A13">
        <v>10</v>
      </c>
      <c r="B13" t="s">
        <v>11</v>
      </c>
      <c r="C13">
        <v>41</v>
      </c>
      <c r="D13">
        <f t="shared" si="1"/>
        <v>105.75</v>
      </c>
      <c r="E13">
        <f t="shared" si="0"/>
        <v>-64.75</v>
      </c>
    </row>
    <row r="14" spans="1:9" x14ac:dyDescent="0.3">
      <c r="A14">
        <v>11</v>
      </c>
      <c r="B14" t="s">
        <v>12</v>
      </c>
      <c r="C14">
        <v>88</v>
      </c>
      <c r="D14">
        <f t="shared" si="1"/>
        <v>105.75</v>
      </c>
      <c r="E14">
        <f t="shared" si="0"/>
        <v>-17.75</v>
      </c>
    </row>
    <row r="15" spans="1:9" x14ac:dyDescent="0.3">
      <c r="A15">
        <v>12</v>
      </c>
      <c r="B15" t="s">
        <v>13</v>
      </c>
      <c r="C15">
        <v>199</v>
      </c>
      <c r="D15">
        <f t="shared" si="1"/>
        <v>105.75</v>
      </c>
      <c r="E15">
        <f t="shared" si="0"/>
        <v>93.25</v>
      </c>
    </row>
    <row r="16" spans="1:9" x14ac:dyDescent="0.3">
      <c r="A16">
        <v>13</v>
      </c>
      <c r="B16" t="s">
        <v>2</v>
      </c>
      <c r="C16">
        <v>230</v>
      </c>
      <c r="D16">
        <f>$G$2*(C15-E4)+(1-$G$2)*D15</f>
        <v>87.75</v>
      </c>
      <c r="E16">
        <f>$H$2*(C16-D16)+(1-$H$2)*E4</f>
        <v>141.85</v>
      </c>
      <c r="F16">
        <f>D15+E4</f>
        <v>244</v>
      </c>
      <c r="G16">
        <f>C16-F16</f>
        <v>-14</v>
      </c>
      <c r="H16">
        <f>ABS(G16)</f>
        <v>14</v>
      </c>
    </row>
    <row r="17" spans="1:8" x14ac:dyDescent="0.3">
      <c r="A17">
        <v>14</v>
      </c>
      <c r="B17" t="s">
        <v>3</v>
      </c>
      <c r="C17">
        <v>245</v>
      </c>
      <c r="D17">
        <f t="shared" ref="D17:D27" si="2">$G$2*(C16-E5)+(1-$G$2)*D16</f>
        <v>95.75</v>
      </c>
      <c r="E17">
        <f t="shared" ref="E17:E27" si="3">$H$2*(C17-D17)+(1-$H$2)*E5</f>
        <v>146.55000000000001</v>
      </c>
      <c r="F17">
        <f t="shared" ref="F17:F27" si="4">D16+E5</f>
        <v>210</v>
      </c>
      <c r="G17">
        <f t="shared" ref="G17:G27" si="5">C17-F17</f>
        <v>35</v>
      </c>
      <c r="H17">
        <f t="shared" ref="H17:H27" si="6">ABS(G17)</f>
        <v>35</v>
      </c>
    </row>
    <row r="18" spans="1:8" x14ac:dyDescent="0.3">
      <c r="A18">
        <v>15</v>
      </c>
      <c r="B18" t="s">
        <v>5</v>
      </c>
      <c r="C18">
        <v>247</v>
      </c>
      <c r="D18">
        <f t="shared" si="2"/>
        <v>136.55000000000001</v>
      </c>
      <c r="E18">
        <f t="shared" si="3"/>
        <v>104.12999999999998</v>
      </c>
      <c r="F18">
        <f t="shared" si="4"/>
        <v>143</v>
      </c>
      <c r="G18">
        <f t="shared" si="5"/>
        <v>104</v>
      </c>
      <c r="H18">
        <f t="shared" si="6"/>
        <v>104</v>
      </c>
    </row>
    <row r="19" spans="1:8" x14ac:dyDescent="0.3">
      <c r="A19">
        <v>16</v>
      </c>
      <c r="B19" t="s">
        <v>4</v>
      </c>
      <c r="C19">
        <v>135</v>
      </c>
      <c r="D19">
        <f t="shared" si="2"/>
        <v>167.03000000000003</v>
      </c>
      <c r="E19">
        <f t="shared" si="3"/>
        <v>-25.402000000000026</v>
      </c>
      <c r="F19">
        <f t="shared" si="4"/>
        <v>170.8</v>
      </c>
      <c r="G19">
        <f t="shared" si="5"/>
        <v>-35.800000000000011</v>
      </c>
      <c r="H19">
        <f t="shared" si="6"/>
        <v>35.800000000000011</v>
      </c>
    </row>
    <row r="20" spans="1:8" x14ac:dyDescent="0.3">
      <c r="A20">
        <v>17</v>
      </c>
      <c r="B20" t="s">
        <v>6</v>
      </c>
      <c r="C20">
        <v>34</v>
      </c>
      <c r="D20">
        <f t="shared" si="2"/>
        <v>174.51800000000003</v>
      </c>
      <c r="E20">
        <f t="shared" si="3"/>
        <v>-131.54120000000003</v>
      </c>
      <c r="F20">
        <f t="shared" si="4"/>
        <v>116.28000000000003</v>
      </c>
      <c r="G20">
        <f t="shared" si="5"/>
        <v>-82.28000000000003</v>
      </c>
      <c r="H20">
        <f t="shared" si="6"/>
        <v>82.28000000000003</v>
      </c>
    </row>
    <row r="21" spans="1:8" x14ac:dyDescent="0.3">
      <c r="A21">
        <v>18</v>
      </c>
      <c r="B21" t="s">
        <v>7</v>
      </c>
      <c r="C21">
        <v>33</v>
      </c>
      <c r="D21">
        <f t="shared" si="2"/>
        <v>147.01080000000002</v>
      </c>
      <c r="E21">
        <f t="shared" si="3"/>
        <v>-109.78472000000002</v>
      </c>
      <c r="F21">
        <f t="shared" si="4"/>
        <v>102.76800000000003</v>
      </c>
      <c r="G21">
        <f t="shared" si="5"/>
        <v>-69.768000000000029</v>
      </c>
      <c r="H21">
        <f t="shared" si="6"/>
        <v>69.768000000000029</v>
      </c>
    </row>
    <row r="22" spans="1:8" x14ac:dyDescent="0.3">
      <c r="A22">
        <v>19</v>
      </c>
      <c r="B22" t="s">
        <v>8</v>
      </c>
      <c r="C22">
        <v>27</v>
      </c>
      <c r="D22">
        <f t="shared" si="2"/>
        <v>131.70648</v>
      </c>
      <c r="E22">
        <f t="shared" si="3"/>
        <v>-101.810832</v>
      </c>
      <c r="F22">
        <f t="shared" si="4"/>
        <v>71.260800000000017</v>
      </c>
      <c r="G22">
        <f t="shared" si="5"/>
        <v>-44.260800000000017</v>
      </c>
      <c r="H22">
        <f t="shared" si="6"/>
        <v>44.260800000000017</v>
      </c>
    </row>
    <row r="23" spans="1:8" x14ac:dyDescent="0.3">
      <c r="A23">
        <v>20</v>
      </c>
      <c r="B23" t="s">
        <v>9</v>
      </c>
      <c r="C23">
        <v>26</v>
      </c>
      <c r="D23">
        <f t="shared" si="2"/>
        <v>120.92388800000001</v>
      </c>
      <c r="E23">
        <f t="shared" si="3"/>
        <v>-93.206499199999996</v>
      </c>
      <c r="F23">
        <f t="shared" si="4"/>
        <v>53.956479999999999</v>
      </c>
      <c r="G23">
        <f t="shared" si="5"/>
        <v>-27.956479999999999</v>
      </c>
      <c r="H23">
        <f t="shared" si="6"/>
        <v>27.956479999999999</v>
      </c>
    </row>
    <row r="24" spans="1:8" x14ac:dyDescent="0.3">
      <c r="A24">
        <v>21</v>
      </c>
      <c r="B24" t="s">
        <v>10</v>
      </c>
      <c r="C24">
        <v>28</v>
      </c>
      <c r="D24">
        <f t="shared" si="2"/>
        <v>113.65433279999999</v>
      </c>
      <c r="E24">
        <f t="shared" si="3"/>
        <v>-84.763899519999995</v>
      </c>
      <c r="F24">
        <f t="shared" si="4"/>
        <v>44.173888000000005</v>
      </c>
      <c r="G24">
        <f t="shared" si="5"/>
        <v>-16.173888000000005</v>
      </c>
      <c r="H24">
        <f t="shared" si="6"/>
        <v>16.173888000000005</v>
      </c>
    </row>
    <row r="25" spans="1:8" x14ac:dyDescent="0.3">
      <c r="A25">
        <v>22</v>
      </c>
      <c r="B25" t="s">
        <v>11</v>
      </c>
      <c r="C25">
        <v>39</v>
      </c>
      <c r="D25">
        <f t="shared" si="2"/>
        <v>105.29259968</v>
      </c>
      <c r="E25">
        <f t="shared" si="3"/>
        <v>-66.13833971199999</v>
      </c>
      <c r="F25">
        <f t="shared" si="4"/>
        <v>48.904332799999992</v>
      </c>
      <c r="G25">
        <f t="shared" si="5"/>
        <v>-9.9043327999999917</v>
      </c>
      <c r="H25">
        <f t="shared" si="6"/>
        <v>9.9043327999999917</v>
      </c>
    </row>
    <row r="26" spans="1:8" x14ac:dyDescent="0.3">
      <c r="A26">
        <v>23</v>
      </c>
      <c r="B26" t="s">
        <v>12</v>
      </c>
      <c r="C26">
        <v>86</v>
      </c>
      <c r="D26">
        <f t="shared" si="2"/>
        <v>85.875559807999991</v>
      </c>
      <c r="E26">
        <f t="shared" si="3"/>
        <v>-1.6630038271999918</v>
      </c>
      <c r="F26">
        <f t="shared" si="4"/>
        <v>87.542599679999995</v>
      </c>
      <c r="G26">
        <f t="shared" si="5"/>
        <v>-1.542599679999995</v>
      </c>
      <c r="H26">
        <f t="shared" si="6"/>
        <v>1.542599679999995</v>
      </c>
    </row>
    <row r="27" spans="1:8" x14ac:dyDescent="0.3">
      <c r="A27">
        <v>24</v>
      </c>
      <c r="B27" t="s">
        <v>13</v>
      </c>
      <c r="C27">
        <v>188</v>
      </c>
      <c r="D27">
        <f t="shared" si="2"/>
        <v>48.625335884799995</v>
      </c>
      <c r="E27">
        <f t="shared" si="3"/>
        <v>134.76219770368002</v>
      </c>
      <c r="F27">
        <f t="shared" si="4"/>
        <v>179.12555980799999</v>
      </c>
      <c r="G27">
        <f t="shared" si="5"/>
        <v>8.8744401920000087</v>
      </c>
      <c r="H27">
        <f t="shared" si="6"/>
        <v>8.8744401920000087</v>
      </c>
    </row>
    <row r="29" spans="1:8" x14ac:dyDescent="0.3">
      <c r="G29" t="s">
        <v>82</v>
      </c>
      <c r="H29">
        <f>AVERAGE(H16:H27)</f>
        <v>37.463378389333336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E7CC-EBE5-4539-ACC5-FA3FA446871C}">
  <dimension ref="A1:E13"/>
  <sheetViews>
    <sheetView workbookViewId="0">
      <selection activeCell="D13" sqref="D13"/>
    </sheetView>
  </sheetViews>
  <sheetFormatPr defaultColWidth="8.77734375" defaultRowHeight="15" x14ac:dyDescent="0.25"/>
  <cols>
    <col min="1" max="1" width="21.21875" style="2" customWidth="1"/>
    <col min="2" max="2" width="10.21875" style="2" bestFit="1" customWidth="1"/>
    <col min="3" max="8" width="8" style="2" customWidth="1"/>
    <col min="9" max="9" width="8.44140625" style="2" bestFit="1" customWidth="1"/>
    <col min="10" max="252" width="8" style="2" customWidth="1"/>
    <col min="253" max="16384" width="8.77734375" style="2"/>
  </cols>
  <sheetData>
    <row r="1" spans="1:5" ht="15.6" x14ac:dyDescent="0.3">
      <c r="A1" s="1" t="s">
        <v>14</v>
      </c>
      <c r="E1" s="2" t="s">
        <v>34</v>
      </c>
    </row>
    <row r="3" spans="1:5" ht="31.8" thickBot="1" x14ac:dyDescent="0.35">
      <c r="A3" s="3" t="s">
        <v>15</v>
      </c>
      <c r="B3" s="3" t="s">
        <v>16</v>
      </c>
    </row>
    <row r="4" spans="1:5" ht="16.2" thickTop="1" x14ac:dyDescent="0.3">
      <c r="A4" s="4">
        <v>2003</v>
      </c>
      <c r="B4" s="5">
        <v>184</v>
      </c>
    </row>
    <row r="5" spans="1:5" ht="15.6" x14ac:dyDescent="0.3">
      <c r="A5" s="4">
        <v>2004</v>
      </c>
      <c r="B5" s="5">
        <v>188.9</v>
      </c>
    </row>
    <row r="6" spans="1:5" ht="15.6" x14ac:dyDescent="0.3">
      <c r="A6" s="4">
        <v>2005</v>
      </c>
      <c r="B6" s="5">
        <v>195.3</v>
      </c>
    </row>
    <row r="7" spans="1:5" ht="15.6" x14ac:dyDescent="0.3">
      <c r="A7" s="4">
        <v>2006</v>
      </c>
      <c r="B7" s="5">
        <v>201.6</v>
      </c>
    </row>
    <row r="8" spans="1:5" ht="15.6" x14ac:dyDescent="0.3">
      <c r="A8" s="4">
        <v>2007</v>
      </c>
      <c r="B8" s="6">
        <v>207.34200000000001</v>
      </c>
    </row>
    <row r="9" spans="1:5" ht="15.6" x14ac:dyDescent="0.3">
      <c r="A9" s="4">
        <v>2008</v>
      </c>
      <c r="B9" s="6">
        <v>215.303</v>
      </c>
    </row>
    <row r="10" spans="1:5" ht="15.6" x14ac:dyDescent="0.3">
      <c r="A10" s="4">
        <v>2009</v>
      </c>
      <c r="B10" s="6">
        <v>214.53700000000001</v>
      </c>
    </row>
    <row r="11" spans="1:5" ht="15.6" x14ac:dyDescent="0.3">
      <c r="A11" s="4">
        <v>2010</v>
      </c>
      <c r="B11" s="6">
        <v>218.05600000000001</v>
      </c>
    </row>
    <row r="12" spans="1:5" ht="15.6" x14ac:dyDescent="0.3">
      <c r="A12" s="4">
        <v>2011</v>
      </c>
      <c r="B12" s="6">
        <v>224.93899999999999</v>
      </c>
    </row>
    <row r="13" spans="1:5" ht="15.6" x14ac:dyDescent="0.3">
      <c r="A13" s="4">
        <v>2012</v>
      </c>
      <c r="B13" s="6">
        <v>229.59399999999999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3DBA-331A-4D7C-B018-7F44A6DE3D79}">
  <dimension ref="A1:C33"/>
  <sheetViews>
    <sheetView workbookViewId="0">
      <selection activeCell="E26" sqref="E26"/>
    </sheetView>
  </sheetViews>
  <sheetFormatPr defaultRowHeight="14.4" x14ac:dyDescent="0.3"/>
  <sheetData>
    <row r="1" spans="1:3" ht="15.6" x14ac:dyDescent="0.3">
      <c r="A1" s="7" t="s">
        <v>17</v>
      </c>
      <c r="B1" s="8"/>
      <c r="C1" s="8"/>
    </row>
    <row r="2" spans="1:3" ht="15.6" x14ac:dyDescent="0.3">
      <c r="A2" s="8"/>
      <c r="B2" s="8"/>
      <c r="C2" s="8"/>
    </row>
    <row r="3" spans="1:3" ht="31.8" thickBot="1" x14ac:dyDescent="0.35">
      <c r="A3" s="9" t="s">
        <v>1</v>
      </c>
      <c r="B3" s="9" t="s">
        <v>15</v>
      </c>
      <c r="C3" s="9" t="s">
        <v>18</v>
      </c>
    </row>
    <row r="4" spans="1:3" ht="16.2" thickTop="1" x14ac:dyDescent="0.3">
      <c r="A4" s="10" t="s">
        <v>19</v>
      </c>
      <c r="B4" s="10">
        <v>1976</v>
      </c>
      <c r="C4" s="10">
        <v>7717</v>
      </c>
    </row>
    <row r="5" spans="1:3" ht="15.6" x14ac:dyDescent="0.3">
      <c r="A5" s="10" t="s">
        <v>20</v>
      </c>
      <c r="B5" s="10">
        <v>1976</v>
      </c>
      <c r="C5" s="10">
        <v>7461</v>
      </c>
    </row>
    <row r="6" spans="1:3" ht="15.6" x14ac:dyDescent="0.3">
      <c r="A6" s="10" t="s">
        <v>21</v>
      </c>
      <c r="B6" s="10">
        <v>1976</v>
      </c>
      <c r="C6" s="10">
        <v>7776</v>
      </c>
    </row>
    <row r="7" spans="1:3" ht="15.6" x14ac:dyDescent="0.3">
      <c r="A7" s="10" t="s">
        <v>22</v>
      </c>
      <c r="B7" s="10">
        <v>1976</v>
      </c>
      <c r="C7" s="10">
        <v>7925</v>
      </c>
    </row>
    <row r="8" spans="1:3" ht="15.6" x14ac:dyDescent="0.3">
      <c r="A8" s="10" t="s">
        <v>6</v>
      </c>
      <c r="B8" s="10">
        <v>1976</v>
      </c>
      <c r="C8" s="10">
        <v>8634</v>
      </c>
    </row>
    <row r="9" spans="1:3" ht="15.6" x14ac:dyDescent="0.3">
      <c r="A9" s="10" t="s">
        <v>23</v>
      </c>
      <c r="B9" s="10">
        <v>1976</v>
      </c>
      <c r="C9" s="10">
        <v>8945</v>
      </c>
    </row>
    <row r="10" spans="1:3" ht="15.6" x14ac:dyDescent="0.3">
      <c r="A10" s="10" t="s">
        <v>24</v>
      </c>
      <c r="B10" s="10">
        <v>1976</v>
      </c>
      <c r="C10" s="10">
        <v>10078</v>
      </c>
    </row>
    <row r="11" spans="1:3" ht="15.6" x14ac:dyDescent="0.3">
      <c r="A11" s="10" t="s">
        <v>25</v>
      </c>
      <c r="B11" s="10">
        <v>1976</v>
      </c>
      <c r="C11" s="10">
        <v>9179</v>
      </c>
    </row>
    <row r="12" spans="1:3" ht="15.6" x14ac:dyDescent="0.3">
      <c r="A12" s="10" t="s">
        <v>26</v>
      </c>
      <c r="B12" s="10">
        <v>1976</v>
      </c>
      <c r="C12" s="10">
        <v>8037</v>
      </c>
    </row>
    <row r="13" spans="1:3" ht="15.6" x14ac:dyDescent="0.3">
      <c r="A13" s="10" t="s">
        <v>27</v>
      </c>
      <c r="B13" s="10">
        <v>1976</v>
      </c>
      <c r="C13" s="10">
        <v>8488</v>
      </c>
    </row>
    <row r="14" spans="1:3" ht="15.6" x14ac:dyDescent="0.3">
      <c r="A14" s="10" t="s">
        <v>28</v>
      </c>
      <c r="B14" s="10">
        <v>1976</v>
      </c>
      <c r="C14" s="10">
        <v>7874</v>
      </c>
    </row>
    <row r="15" spans="1:3" ht="15.6" x14ac:dyDescent="0.3">
      <c r="A15" s="10" t="s">
        <v>29</v>
      </c>
      <c r="B15" s="10">
        <v>1976</v>
      </c>
      <c r="C15" s="10">
        <v>8647</v>
      </c>
    </row>
    <row r="16" spans="1:3" ht="15.6" x14ac:dyDescent="0.3">
      <c r="A16" s="10" t="s">
        <v>19</v>
      </c>
      <c r="B16" s="10">
        <v>1977</v>
      </c>
      <c r="C16" s="10">
        <v>7792</v>
      </c>
    </row>
    <row r="17" spans="1:3" ht="15.6" x14ac:dyDescent="0.3">
      <c r="A17" s="10" t="s">
        <v>20</v>
      </c>
      <c r="B17" s="10">
        <v>1977</v>
      </c>
      <c r="C17" s="10">
        <v>6957</v>
      </c>
    </row>
    <row r="18" spans="1:3" ht="15.6" x14ac:dyDescent="0.3">
      <c r="A18" s="10" t="s">
        <v>21</v>
      </c>
      <c r="B18" s="10">
        <v>1977</v>
      </c>
      <c r="C18" s="10">
        <v>7726</v>
      </c>
    </row>
    <row r="19" spans="1:3" ht="15.6" x14ac:dyDescent="0.3">
      <c r="A19" s="10" t="s">
        <v>22</v>
      </c>
      <c r="B19" s="10">
        <v>1977</v>
      </c>
      <c r="C19" s="10">
        <v>8106</v>
      </c>
    </row>
    <row r="20" spans="1:3" ht="15.6" x14ac:dyDescent="0.3">
      <c r="A20" s="10" t="s">
        <v>6</v>
      </c>
      <c r="B20" s="10">
        <v>1977</v>
      </c>
      <c r="C20" s="10">
        <v>8890</v>
      </c>
    </row>
    <row r="21" spans="1:3" ht="15.6" x14ac:dyDescent="0.3">
      <c r="A21" s="10" t="s">
        <v>23</v>
      </c>
      <c r="B21" s="10">
        <v>1977</v>
      </c>
      <c r="C21" s="10">
        <v>9299</v>
      </c>
    </row>
    <row r="22" spans="1:3" ht="15.6" x14ac:dyDescent="0.3">
      <c r="A22" s="10" t="s">
        <v>24</v>
      </c>
      <c r="B22" s="10">
        <v>1977</v>
      </c>
      <c r="C22" s="10">
        <v>10625</v>
      </c>
    </row>
    <row r="23" spans="1:3" ht="15.6" x14ac:dyDescent="0.3">
      <c r="A23" s="10" t="s">
        <v>25</v>
      </c>
      <c r="B23" s="10">
        <v>1977</v>
      </c>
      <c r="C23" s="10">
        <v>9302</v>
      </c>
    </row>
    <row r="24" spans="1:3" ht="15.6" x14ac:dyDescent="0.3">
      <c r="A24" s="10" t="s">
        <v>26</v>
      </c>
      <c r="B24" s="10">
        <v>1977</v>
      </c>
      <c r="C24" s="10">
        <v>8314</v>
      </c>
    </row>
    <row r="25" spans="1:3" ht="15.6" x14ac:dyDescent="0.3">
      <c r="A25" s="10" t="s">
        <v>27</v>
      </c>
      <c r="B25" s="10">
        <v>1977</v>
      </c>
      <c r="C25" s="10">
        <v>8850</v>
      </c>
    </row>
    <row r="26" spans="1:3" ht="15.6" x14ac:dyDescent="0.3">
      <c r="A26" s="10" t="s">
        <v>28</v>
      </c>
      <c r="B26" s="10">
        <v>1977</v>
      </c>
      <c r="C26" s="10">
        <v>8265</v>
      </c>
    </row>
    <row r="27" spans="1:3" ht="15.6" x14ac:dyDescent="0.3">
      <c r="A27" s="10" t="s">
        <v>29</v>
      </c>
      <c r="B27" s="10">
        <v>1977</v>
      </c>
      <c r="C27" s="10">
        <v>8796</v>
      </c>
    </row>
    <row r="33" spans="1:3" ht="15" thickBot="1" x14ac:dyDescent="0.35">
      <c r="A33" s="15"/>
      <c r="B33" s="15"/>
      <c r="C3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C955-5676-414E-8505-18DB34D70AB2}">
  <dimension ref="A1:L39"/>
  <sheetViews>
    <sheetView workbookViewId="0">
      <selection activeCell="E1" sqref="E1:E1048576"/>
    </sheetView>
  </sheetViews>
  <sheetFormatPr defaultRowHeight="14.4" x14ac:dyDescent="0.3"/>
  <cols>
    <col min="2" max="2" width="12.33203125" customWidth="1"/>
    <col min="3" max="3" width="11.21875" customWidth="1"/>
    <col min="4" max="4" width="12.21875" customWidth="1"/>
    <col min="5" max="5" width="13.44140625" customWidth="1"/>
    <col min="6" max="6" width="14.44140625" customWidth="1"/>
    <col min="7" max="7" width="17.44140625" customWidth="1"/>
  </cols>
  <sheetData>
    <row r="1" spans="1:12" ht="15.6" x14ac:dyDescent="0.3">
      <c r="A1" s="11" t="s">
        <v>30</v>
      </c>
      <c r="B1" s="11"/>
      <c r="C1" s="8"/>
      <c r="J1" t="s">
        <v>37</v>
      </c>
      <c r="K1" t="s">
        <v>41</v>
      </c>
      <c r="L1" t="s">
        <v>38</v>
      </c>
    </row>
    <row r="2" spans="1:12" ht="16.2" thickBot="1" x14ac:dyDescent="0.35">
      <c r="A2" s="12"/>
      <c r="B2" s="12"/>
      <c r="C2" s="8"/>
      <c r="J2">
        <v>0.3</v>
      </c>
      <c r="K2">
        <v>0.2</v>
      </c>
      <c r="L2">
        <v>0.9</v>
      </c>
    </row>
    <row r="3" spans="1:12" ht="15.6" x14ac:dyDescent="0.3">
      <c r="A3" s="18" t="s">
        <v>1</v>
      </c>
      <c r="B3" s="19" t="s">
        <v>42</v>
      </c>
      <c r="C3" s="20" t="s">
        <v>44</v>
      </c>
      <c r="D3" s="17" t="s">
        <v>35</v>
      </c>
      <c r="E3" s="17" t="s">
        <v>40</v>
      </c>
      <c r="F3" s="17" t="s">
        <v>36</v>
      </c>
      <c r="G3" s="17" t="s">
        <v>43</v>
      </c>
    </row>
    <row r="4" spans="1:12" ht="15.6" x14ac:dyDescent="0.3">
      <c r="A4" s="21" t="s">
        <v>2</v>
      </c>
      <c r="B4" s="22">
        <v>1</v>
      </c>
      <c r="C4" s="23">
        <v>39811</v>
      </c>
      <c r="D4" s="26">
        <f>AVERAGE(C4:C15)</f>
        <v>45427.5</v>
      </c>
      <c r="E4" s="24"/>
      <c r="F4" s="25">
        <f>C4-D4</f>
        <v>-5616.5</v>
      </c>
      <c r="G4" s="16"/>
    </row>
    <row r="5" spans="1:12" ht="15.6" x14ac:dyDescent="0.3">
      <c r="A5" s="21" t="s">
        <v>3</v>
      </c>
      <c r="B5" s="22">
        <v>2</v>
      </c>
      <c r="C5" s="23">
        <v>40081</v>
      </c>
      <c r="D5" s="26">
        <f>D4</f>
        <v>45427.5</v>
      </c>
      <c r="E5" s="16"/>
      <c r="F5" s="25">
        <f t="shared" ref="F5:F15" si="0">C5-D5</f>
        <v>-5346.5</v>
      </c>
      <c r="G5" s="16"/>
    </row>
    <row r="6" spans="1:12" ht="15.6" x14ac:dyDescent="0.3">
      <c r="A6" s="21" t="s">
        <v>5</v>
      </c>
      <c r="B6" s="22">
        <v>3</v>
      </c>
      <c r="C6" s="23">
        <v>47439</v>
      </c>
      <c r="D6" s="26">
        <f t="shared" ref="D6:D15" si="1">D5</f>
        <v>45427.5</v>
      </c>
      <c r="E6" s="16"/>
      <c r="F6" s="25">
        <f t="shared" si="0"/>
        <v>2011.5</v>
      </c>
      <c r="G6" s="16"/>
    </row>
    <row r="7" spans="1:12" ht="15.6" x14ac:dyDescent="0.3">
      <c r="A7" s="21" t="s">
        <v>4</v>
      </c>
      <c r="B7" s="22">
        <v>4</v>
      </c>
      <c r="C7" s="23">
        <v>47297</v>
      </c>
      <c r="D7" s="26">
        <f t="shared" si="1"/>
        <v>45427.5</v>
      </c>
      <c r="E7" s="16"/>
      <c r="F7" s="25">
        <f t="shared" si="0"/>
        <v>1869.5</v>
      </c>
      <c r="G7" s="16"/>
    </row>
    <row r="8" spans="1:12" ht="15.6" x14ac:dyDescent="0.3">
      <c r="A8" s="21" t="s">
        <v>6</v>
      </c>
      <c r="B8" s="22">
        <v>5</v>
      </c>
      <c r="C8" s="23">
        <v>49211</v>
      </c>
      <c r="D8" s="26">
        <f t="shared" si="1"/>
        <v>45427.5</v>
      </c>
      <c r="E8" s="16"/>
      <c r="F8" s="25">
        <f t="shared" si="0"/>
        <v>3783.5</v>
      </c>
      <c r="G8" s="16"/>
    </row>
    <row r="9" spans="1:12" ht="15.6" x14ac:dyDescent="0.3">
      <c r="A9" s="21" t="s">
        <v>7</v>
      </c>
      <c r="B9" s="22">
        <v>6</v>
      </c>
      <c r="C9" s="23">
        <v>51479</v>
      </c>
      <c r="D9" s="26">
        <f t="shared" si="1"/>
        <v>45427.5</v>
      </c>
      <c r="E9" s="16"/>
      <c r="F9" s="25">
        <f t="shared" si="0"/>
        <v>6051.5</v>
      </c>
      <c r="G9" s="16"/>
    </row>
    <row r="10" spans="1:12" ht="15.6" x14ac:dyDescent="0.3">
      <c r="A10" s="21" t="s">
        <v>8</v>
      </c>
      <c r="B10" s="22">
        <v>7</v>
      </c>
      <c r="C10" s="23">
        <v>46466</v>
      </c>
      <c r="D10" s="26">
        <f t="shared" si="1"/>
        <v>45427.5</v>
      </c>
      <c r="E10" s="16"/>
      <c r="F10" s="25">
        <f t="shared" si="0"/>
        <v>1038.5</v>
      </c>
      <c r="G10" s="16"/>
    </row>
    <row r="11" spans="1:12" ht="15.6" x14ac:dyDescent="0.3">
      <c r="A11" s="21" t="s">
        <v>9</v>
      </c>
      <c r="B11" s="22">
        <v>8</v>
      </c>
      <c r="C11" s="23">
        <v>45208</v>
      </c>
      <c r="D11" s="26">
        <f t="shared" si="1"/>
        <v>45427.5</v>
      </c>
      <c r="E11" s="16"/>
      <c r="F11" s="25">
        <f t="shared" si="0"/>
        <v>-219.5</v>
      </c>
      <c r="G11" s="16"/>
    </row>
    <row r="12" spans="1:12" ht="15.6" x14ac:dyDescent="0.3">
      <c r="A12" s="21" t="s">
        <v>10</v>
      </c>
      <c r="B12" s="22">
        <v>9</v>
      </c>
      <c r="C12" s="23">
        <v>44801</v>
      </c>
      <c r="D12" s="26">
        <f t="shared" si="1"/>
        <v>45427.5</v>
      </c>
      <c r="E12" s="16"/>
      <c r="F12" s="25">
        <f t="shared" si="0"/>
        <v>-626.5</v>
      </c>
      <c r="G12" s="16"/>
    </row>
    <row r="13" spans="1:12" ht="15.6" x14ac:dyDescent="0.3">
      <c r="A13" s="21" t="s">
        <v>11</v>
      </c>
      <c r="B13" s="22">
        <v>10</v>
      </c>
      <c r="C13" s="23">
        <v>46989</v>
      </c>
      <c r="D13" s="26">
        <f t="shared" si="1"/>
        <v>45427.5</v>
      </c>
      <c r="E13" s="16"/>
      <c r="F13" s="25">
        <f t="shared" si="0"/>
        <v>1561.5</v>
      </c>
      <c r="G13" s="16"/>
    </row>
    <row r="14" spans="1:12" ht="15.6" x14ac:dyDescent="0.3">
      <c r="A14" s="21" t="s">
        <v>12</v>
      </c>
      <c r="B14" s="22">
        <v>11</v>
      </c>
      <c r="C14" s="23">
        <v>42161</v>
      </c>
      <c r="D14" s="26">
        <f t="shared" si="1"/>
        <v>45427.5</v>
      </c>
      <c r="E14" s="16"/>
      <c r="F14" s="25">
        <f t="shared" si="0"/>
        <v>-3266.5</v>
      </c>
      <c r="G14" s="16"/>
    </row>
    <row r="15" spans="1:12" ht="15.6" x14ac:dyDescent="0.3">
      <c r="A15" s="21" t="s">
        <v>13</v>
      </c>
      <c r="B15" s="22">
        <v>12</v>
      </c>
      <c r="C15" s="23">
        <v>44187</v>
      </c>
      <c r="D15" s="26">
        <f t="shared" si="1"/>
        <v>45427.5</v>
      </c>
      <c r="E15" s="16"/>
      <c r="F15" s="25">
        <f t="shared" si="0"/>
        <v>-1240.5</v>
      </c>
      <c r="G15" s="16"/>
    </row>
    <row r="16" spans="1:12" ht="15.6" x14ac:dyDescent="0.3">
      <c r="A16" s="21" t="s">
        <v>2</v>
      </c>
      <c r="B16" s="22">
        <v>13</v>
      </c>
      <c r="C16" s="23">
        <v>42227</v>
      </c>
      <c r="D16" s="16"/>
      <c r="E16" s="16"/>
      <c r="F16" s="16"/>
      <c r="G16" s="25"/>
    </row>
    <row r="17" spans="1:7" ht="15.6" x14ac:dyDescent="0.3">
      <c r="A17" s="21" t="s">
        <v>3</v>
      </c>
      <c r="B17" s="22">
        <v>14</v>
      </c>
      <c r="C17" s="23">
        <v>45422</v>
      </c>
      <c r="D17" s="16"/>
      <c r="E17" s="16"/>
      <c r="F17" s="16"/>
      <c r="G17" s="16"/>
    </row>
    <row r="18" spans="1:7" ht="15.6" x14ac:dyDescent="0.3">
      <c r="A18" s="21" t="s">
        <v>5</v>
      </c>
      <c r="B18" s="22">
        <v>15</v>
      </c>
      <c r="C18" s="23">
        <v>54075</v>
      </c>
      <c r="D18" s="16"/>
      <c r="E18" s="16"/>
      <c r="F18" s="16"/>
      <c r="G18" s="16"/>
    </row>
    <row r="19" spans="1:7" ht="15.6" x14ac:dyDescent="0.3">
      <c r="A19" s="21" t="s">
        <v>4</v>
      </c>
      <c r="B19" s="22">
        <v>16</v>
      </c>
      <c r="C19" s="23">
        <v>50925</v>
      </c>
      <c r="D19" s="16"/>
      <c r="E19" s="16"/>
      <c r="F19" s="16"/>
      <c r="G19" s="16"/>
    </row>
    <row r="20" spans="1:7" ht="15.6" x14ac:dyDescent="0.3">
      <c r="A20" s="21" t="s">
        <v>6</v>
      </c>
      <c r="B20" s="22">
        <v>17</v>
      </c>
      <c r="C20" s="23">
        <v>53572</v>
      </c>
      <c r="D20" s="16"/>
      <c r="E20" s="16"/>
      <c r="F20" s="16"/>
      <c r="G20" s="16"/>
    </row>
    <row r="21" spans="1:7" ht="15.6" x14ac:dyDescent="0.3">
      <c r="A21" s="21" t="s">
        <v>7</v>
      </c>
      <c r="B21" s="22">
        <v>18</v>
      </c>
      <c r="C21" s="23">
        <v>54920</v>
      </c>
      <c r="D21" s="16"/>
      <c r="E21" s="16"/>
      <c r="F21" s="16"/>
      <c r="G21" s="16"/>
    </row>
    <row r="22" spans="1:7" ht="15.6" x14ac:dyDescent="0.3">
      <c r="A22" s="21" t="s">
        <v>8</v>
      </c>
      <c r="B22" s="22">
        <v>19</v>
      </c>
      <c r="C22" s="23">
        <v>54449</v>
      </c>
      <c r="D22" s="16"/>
      <c r="E22" s="16"/>
      <c r="F22" s="16"/>
      <c r="G22" s="16"/>
    </row>
    <row r="23" spans="1:7" ht="15.6" x14ac:dyDescent="0.3">
      <c r="A23" s="21" t="s">
        <v>9</v>
      </c>
      <c r="B23" s="22">
        <v>20</v>
      </c>
      <c r="C23" s="23">
        <v>56079</v>
      </c>
      <c r="D23" s="16"/>
      <c r="E23" s="16"/>
      <c r="F23" s="16"/>
      <c r="G23" s="16"/>
    </row>
    <row r="24" spans="1:7" ht="15.6" x14ac:dyDescent="0.3">
      <c r="A24" s="21" t="s">
        <v>10</v>
      </c>
      <c r="B24" s="22">
        <v>21</v>
      </c>
      <c r="C24" s="23">
        <v>52177</v>
      </c>
      <c r="D24" s="16"/>
      <c r="E24" s="16"/>
      <c r="F24" s="16"/>
      <c r="G24" s="16"/>
    </row>
    <row r="25" spans="1:7" ht="15.6" x14ac:dyDescent="0.3">
      <c r="A25" s="21" t="s">
        <v>11</v>
      </c>
      <c r="B25" s="22">
        <v>22</v>
      </c>
      <c r="C25" s="23">
        <v>50087</v>
      </c>
      <c r="D25" s="16"/>
      <c r="E25" s="16"/>
      <c r="F25" s="16"/>
      <c r="G25" s="16"/>
    </row>
    <row r="26" spans="1:7" ht="15.6" x14ac:dyDescent="0.3">
      <c r="A26" s="21" t="s">
        <v>12</v>
      </c>
      <c r="B26" s="22">
        <v>23</v>
      </c>
      <c r="C26" s="23">
        <v>48511</v>
      </c>
      <c r="D26" s="16"/>
      <c r="E26" s="16"/>
      <c r="F26" s="16"/>
      <c r="G26" s="16"/>
    </row>
    <row r="27" spans="1:7" ht="15.6" x14ac:dyDescent="0.3">
      <c r="A27" s="21" t="s">
        <v>13</v>
      </c>
      <c r="B27" s="22">
        <v>24</v>
      </c>
      <c r="C27" s="23">
        <v>49278</v>
      </c>
      <c r="D27" s="16"/>
      <c r="E27" s="16"/>
      <c r="F27" s="16"/>
      <c r="G27" s="16"/>
    </row>
    <row r="28" spans="1:7" ht="15.6" x14ac:dyDescent="0.3">
      <c r="A28" s="21" t="s">
        <v>2</v>
      </c>
      <c r="B28" s="22">
        <v>25</v>
      </c>
      <c r="C28" s="23">
        <v>48134</v>
      </c>
      <c r="D28" s="16"/>
      <c r="E28" s="16"/>
      <c r="F28" s="16"/>
      <c r="G28" s="16"/>
    </row>
    <row r="29" spans="1:7" ht="15.6" x14ac:dyDescent="0.3">
      <c r="A29" s="21" t="s">
        <v>3</v>
      </c>
      <c r="B29" s="22">
        <v>26</v>
      </c>
      <c r="C29" s="23">
        <v>54887</v>
      </c>
      <c r="D29" s="16"/>
      <c r="E29" s="16"/>
      <c r="F29" s="16"/>
      <c r="G29" s="16"/>
    </row>
    <row r="30" spans="1:7" ht="15.6" x14ac:dyDescent="0.3">
      <c r="A30" s="21" t="s">
        <v>5</v>
      </c>
      <c r="B30" s="22">
        <v>27</v>
      </c>
      <c r="C30" s="23">
        <v>61064</v>
      </c>
      <c r="D30" s="16"/>
      <c r="E30" s="16"/>
      <c r="F30" s="16"/>
      <c r="G30" s="16"/>
    </row>
    <row r="31" spans="1:7" ht="15.6" x14ac:dyDescent="0.3">
      <c r="A31" s="21" t="s">
        <v>4</v>
      </c>
      <c r="B31" s="22">
        <v>28</v>
      </c>
      <c r="C31" s="23">
        <v>53350</v>
      </c>
      <c r="D31" s="16"/>
      <c r="E31" s="16"/>
      <c r="F31" s="16"/>
      <c r="G31" s="16"/>
    </row>
    <row r="32" spans="1:7" ht="15.6" x14ac:dyDescent="0.3">
      <c r="A32" s="21" t="s">
        <v>6</v>
      </c>
      <c r="B32" s="22">
        <v>29</v>
      </c>
      <c r="C32" s="23">
        <v>59467</v>
      </c>
      <c r="D32" s="16"/>
      <c r="E32" s="16"/>
      <c r="F32" s="16"/>
      <c r="G32" s="16"/>
    </row>
    <row r="33" spans="1:7" ht="15.6" x14ac:dyDescent="0.3">
      <c r="A33" s="21" t="s">
        <v>7</v>
      </c>
      <c r="B33" s="22">
        <v>30</v>
      </c>
      <c r="C33" s="23">
        <v>59370</v>
      </c>
      <c r="D33" s="16"/>
      <c r="E33" s="16"/>
      <c r="F33" s="16"/>
      <c r="G33" s="16"/>
    </row>
    <row r="34" spans="1:7" ht="15.6" x14ac:dyDescent="0.3">
      <c r="A34" s="21" t="s">
        <v>8</v>
      </c>
      <c r="B34" s="22">
        <v>31</v>
      </c>
      <c r="C34" s="23">
        <v>55087</v>
      </c>
      <c r="D34" s="16"/>
      <c r="E34" s="16"/>
      <c r="F34" s="16"/>
      <c r="G34" s="16"/>
    </row>
    <row r="35" spans="1:7" ht="15.6" x14ac:dyDescent="0.3">
      <c r="A35" s="21" t="s">
        <v>9</v>
      </c>
      <c r="B35" s="22">
        <v>32</v>
      </c>
      <c r="C35" s="23">
        <v>59349</v>
      </c>
      <c r="D35" s="16"/>
      <c r="E35" s="16"/>
      <c r="F35" s="16"/>
      <c r="G35" s="16"/>
    </row>
    <row r="36" spans="1:7" ht="15.6" x14ac:dyDescent="0.3">
      <c r="A36" s="21" t="s">
        <v>10</v>
      </c>
      <c r="B36" s="22">
        <v>33</v>
      </c>
      <c r="C36" s="23">
        <v>54472</v>
      </c>
      <c r="D36" s="16"/>
      <c r="E36" s="16"/>
      <c r="F36" s="16"/>
      <c r="G36" s="16"/>
    </row>
    <row r="37" spans="1:7" ht="15.6" x14ac:dyDescent="0.3">
      <c r="A37" s="21" t="s">
        <v>11</v>
      </c>
      <c r="B37" s="22">
        <v>34</v>
      </c>
      <c r="C37" s="23">
        <v>53164</v>
      </c>
      <c r="D37" s="16"/>
      <c r="E37" s="16"/>
      <c r="F37" s="16"/>
      <c r="G37" s="16"/>
    </row>
    <row r="38" spans="1:7" ht="15.6" x14ac:dyDescent="0.3">
      <c r="A38" s="21" t="s">
        <v>12</v>
      </c>
      <c r="B38" s="22">
        <v>35</v>
      </c>
      <c r="C38" s="23">
        <v>48792</v>
      </c>
      <c r="D38" s="16"/>
      <c r="E38" s="16"/>
      <c r="F38" s="16"/>
      <c r="G38" s="16"/>
    </row>
    <row r="39" spans="1:7" ht="15.6" x14ac:dyDescent="0.3">
      <c r="A39" s="21" t="s">
        <v>13</v>
      </c>
      <c r="B39" s="22">
        <v>36</v>
      </c>
      <c r="C39" s="23">
        <v>46956</v>
      </c>
      <c r="D39" s="16"/>
      <c r="E39" s="16"/>
      <c r="F39" s="16"/>
      <c r="G3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 13 pg 381</vt:lpstr>
      <vt:lpstr>Ex 9.13_ pg 369</vt:lpstr>
      <vt:lpstr>Sheet1</vt:lpstr>
      <vt:lpstr>Ex 14 Pg 381</vt:lpstr>
      <vt:lpstr>Ex 16 pg 381</vt:lpstr>
      <vt:lpstr>Ex 17 pg 381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Dhawani</dc:creator>
  <cp:lastModifiedBy>sneha mirani</cp:lastModifiedBy>
  <dcterms:created xsi:type="dcterms:W3CDTF">2015-06-05T18:17:20Z</dcterms:created>
  <dcterms:modified xsi:type="dcterms:W3CDTF">2026-02-12T10:58:10Z</dcterms:modified>
</cp:coreProperties>
</file>