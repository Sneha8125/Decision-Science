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8b5a7969d0887c1/Desktop/AU_winter 26/TOD212/session PPTs/"/>
    </mc:Choice>
  </mc:AlternateContent>
  <xr:revisionPtr revIDLastSave="133" documentId="11_F25DC773A252ABDACC1048AE715857225BDE58E5" xr6:coauthVersionLast="47" xr6:coauthVersionMax="47" xr10:uidLastSave="{FC27C42E-DD6F-43EE-A2D0-3013D6255103}"/>
  <bookViews>
    <workbookView xWindow="-110" yWindow="-110" windowWidth="19420" windowHeight="11500" xr2:uid="{00000000-000D-0000-FFFF-FFFF00000000}"/>
  </bookViews>
  <sheets>
    <sheet name="Data" sheetId="1" r:id="rId1"/>
    <sheet name="Confusion matrix" sheetId="2" r:id="rId2"/>
    <sheet name="Link" sheetId="3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2" l="1"/>
  <c r="I16" i="2"/>
  <c r="I15" i="2"/>
  <c r="I14" i="2"/>
  <c r="E18" i="2"/>
</calcChain>
</file>

<file path=xl/sharedStrings.xml><?xml version="1.0" encoding="utf-8"?>
<sst xmlns="http://schemas.openxmlformats.org/spreadsheetml/2006/main" count="66" uniqueCount="40">
  <si>
    <t>Sr. No</t>
  </si>
  <si>
    <t>Name</t>
  </si>
  <si>
    <t>Actual</t>
  </si>
  <si>
    <t>Predicted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</si>
  <si>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</si>
  <si>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</si>
  <si>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</si>
  <si>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</si>
  <si>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</si>
  <si>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</si>
  <si>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</si>
  <si>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</si>
  <si>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</si>
  <si>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</si>
  <si>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Criminal</t>
  </si>
  <si>
    <t>Innocent</t>
  </si>
  <si>
    <t>Count of Sr. No</t>
  </si>
  <si>
    <t>Row Labels</t>
  </si>
  <si>
    <t>Grand Total</t>
  </si>
  <si>
    <t>Column Labels</t>
  </si>
  <si>
    <t>Precision</t>
  </si>
  <si>
    <t>Recall</t>
  </si>
  <si>
    <t>F1</t>
  </si>
  <si>
    <t>Accuracy</t>
  </si>
  <si>
    <t xml:space="preserve"> (+)Criminal</t>
  </si>
  <si>
    <t>(-)Innocent</t>
  </si>
  <si>
    <t>(+)Criminal</t>
  </si>
  <si>
    <t xml:space="preserve"> (TP)4</t>
  </si>
  <si>
    <t>2 (FN)</t>
  </si>
  <si>
    <t>(FP)1</t>
  </si>
  <si>
    <t>3 (TN)</t>
  </si>
  <si>
    <t>https://www.youtube.com/watch?v=JYQupddZkzc&amp;t=944s</t>
  </si>
  <si>
    <t>True positives</t>
  </si>
  <si>
    <t>False positives</t>
  </si>
  <si>
    <t>False negative</t>
  </si>
  <si>
    <t>True negative</t>
  </si>
  <si>
    <t>Total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</si>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</sst>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9" fontId="0" fillId="0" borderId="0" xfId="1" applyFont="1" applyAlignment="1">
      <alignment horizontal="center"/>
    </xf>
    <xf numFmtId="0" fontId="0" fillId="3" borderId="0" xfId="0" applyFill="1"/>
    <xf numFmtId="0" fontId="0" fillId="3" borderId="0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165100</xdr:rowOff>
    </xdr:from>
    <xdr:to>
      <xdr:col>10</xdr:col>
      <xdr:colOff>355600</xdr:colOff>
      <xdr:row>6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69990E-1AEE-EF01-92B7-314715E53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900" y="165100"/>
          <a:ext cx="3835400" cy="1079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li" refreshedDate="46125.697321064814" createdVersion="8" refreshedVersion="8" minRefreshableVersion="3" recordCount="10" xr:uid="{6103AB46-3887-4AEB-BBA7-8ECB42C2B7B0}">
  <cacheSource type="worksheet">
    <worksheetSource ref="B3:E13" sheet="Data"/>
  </cacheSource>
  <cacheFields count="4">
    <cacheField name="Sr. No" numFmtId="0">
      <sharedItems containsSemiMixedTypes="0" containsString="0" containsNumber="1" containsInteger="1" minValue="1" maxValue="10"/>
    </cacheField>
    <cacheField name="Name" numFmtId="0">
      <sharedItems/>
    </cacheField>
    <cacheField name="Actual" numFmtId="0">
      <sharedItems count="2">
        <s v="Criminal"/>
        <s v="Innocent"/>
      </sharedItems>
    </cacheField>
    <cacheField name="Predicted" numFmtId="0">
      <sharedItems count="2">
        <s v="Criminal"/>
        <s v="Innoc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A"/>
    <x v="0"/>
    <x v="0"/>
  </r>
  <r>
    <n v="2"/>
    <s v="B"/>
    <x v="1"/>
    <x v="0"/>
  </r>
  <r>
    <n v="3"/>
    <s v="C"/>
    <x v="0"/>
    <x v="0"/>
  </r>
  <r>
    <n v="4"/>
    <s v="D"/>
    <x v="0"/>
    <x v="0"/>
  </r>
  <r>
    <n v="5"/>
    <s v="E"/>
    <x v="0"/>
    <x v="1"/>
  </r>
  <r>
    <n v="6"/>
    <s v="F"/>
    <x v="1"/>
    <x v="1"/>
  </r>
  <r>
    <n v="7"/>
    <s v="G"/>
    <x v="0"/>
    <x v="1"/>
  </r>
  <r>
    <n v="8"/>
    <s v="H"/>
    <x v="1"/>
    <x v="1"/>
  </r>
  <r>
    <n v="9"/>
    <s v="I"/>
    <x v="0"/>
    <x v="0"/>
  </r>
  <r>
    <n v="10"/>
    <s v="J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D4A9E-688E-49D5-BCD1-CAE40802641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4">
    <pivotField dataField="1"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Sr. 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13"/>
  <sheetViews>
    <sheetView tabSelected="1" topLeftCell="A3" zoomScale="176" zoomScaleNormal="176" workbookViewId="0">
      <selection activeCell="G9" sqref="G9"/>
    </sheetView>
  </sheetViews>
  <sheetFormatPr defaultRowHeight="14.5" x14ac:dyDescent="0.35"/>
  <cols>
    <col min="1" max="1" width="18.54296875" customWidth="1"/>
    <col min="2" max="2" width="7.90625" customWidth="1"/>
    <col min="3" max="3" width="9.08984375" customWidth="1"/>
    <col min="4" max="4" width="10.7265625" customWidth="1"/>
    <col min="5" max="5" width="11.90625" customWidth="1"/>
  </cols>
  <sheetData>
    <row r="3" spans="2:5" x14ac:dyDescent="0.35">
      <c r="B3" s="2" t="s">
        <v>0</v>
      </c>
      <c r="C3" s="2" t="s">
        <v>1</v>
      </c>
      <c r="D3" s="2" t="s">
        <v>2</v>
      </c>
      <c r="E3" s="2" t="s">
        <v>3</v>
      </c>
    </row>
    <row r="4" spans="2:5" x14ac:dyDescent="0.35">
      <c r="B4" s="1">
        <v>1</v>
      </c>
      <c r="C4" s="1" t="s">
        <v>4</v>
      </c>
      <c r="D4" s="1" t="s">
        <v>14</v>
      </c>
      <c r="E4" s="1" t="s">
        <v>14</v>
      </c>
    </row>
    <row r="5" spans="2:5" x14ac:dyDescent="0.35">
      <c r="B5" s="1">
        <v>2</v>
      </c>
      <c r="C5" s="1" t="s">
        <v>5</v>
      </c>
      <c r="D5" s="1" t="s">
        <v>15</v>
      </c>
      <c r="E5" s="1" t="s">
        <v>14</v>
      </c>
    </row>
    <row r="6" spans="2:5" x14ac:dyDescent="0.35">
      <c r="B6" s="1">
        <v>3</v>
      </c>
      <c r="C6" s="1" t="s">
        <v>6</v>
      </c>
      <c r="D6" s="1" t="s">
        <v>14</v>
      </c>
      <c r="E6" s="1" t="s">
        <v>14</v>
      </c>
    </row>
    <row r="7" spans="2:5" x14ac:dyDescent="0.35">
      <c r="B7" s="1">
        <v>4</v>
      </c>
      <c r="C7" s="1" t="s">
        <v>7</v>
      </c>
      <c r="D7" s="1" t="s">
        <v>14</v>
      </c>
      <c r="E7" s="1" t="s">
        <v>14</v>
      </c>
    </row>
    <row r="8" spans="2:5" x14ac:dyDescent="0.35">
      <c r="B8" s="1">
        <v>5</v>
      </c>
      <c r="C8" s="1" t="s">
        <v>8</v>
      </c>
      <c r="D8" s="1" t="s">
        <v>14</v>
      </c>
      <c r="E8" s="1" t="s">
        <v>15</v>
      </c>
    </row>
    <row r="9" spans="2:5" x14ac:dyDescent="0.35">
      <c r="B9" s="1">
        <v>6</v>
      </c>
      <c r="C9" s="1" t="s">
        <v>9</v>
      </c>
      <c r="D9" s="1" t="s">
        <v>15</v>
      </c>
      <c r="E9" s="1" t="s">
        <v>15</v>
      </c>
    </row>
    <row r="10" spans="2:5" x14ac:dyDescent="0.35">
      <c r="B10" s="1">
        <v>7</v>
      </c>
      <c r="C10" s="1" t="s">
        <v>10</v>
      </c>
      <c r="D10" s="1" t="s">
        <v>14</v>
      </c>
      <c r="E10" s="1" t="s">
        <v>15</v>
      </c>
    </row>
    <row r="11" spans="2:5" x14ac:dyDescent="0.35">
      <c r="B11" s="1">
        <v>8</v>
      </c>
      <c r="C11" s="1" t="s">
        <v>11</v>
      </c>
      <c r="D11" s="1" t="s">
        <v>15</v>
      </c>
      <c r="E11" s="1" t="s">
        <v>15</v>
      </c>
    </row>
    <row r="12" spans="2:5" x14ac:dyDescent="0.35">
      <c r="B12" s="1">
        <v>9</v>
      </c>
      <c r="C12" s="1" t="s">
        <v>12</v>
      </c>
      <c r="D12" s="1" t="s">
        <v>14</v>
      </c>
      <c r="E12" s="1" t="s">
        <v>14</v>
      </c>
    </row>
    <row r="13" spans="2:5" x14ac:dyDescent="0.35">
      <c r="B13" s="1">
        <v>10</v>
      </c>
      <c r="C13" s="1" t="s">
        <v>13</v>
      </c>
      <c r="D13" s="1" t="s">
        <v>15</v>
      </c>
      <c r="E13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EBED-BE4D-47DD-8CED-5D2DF1DB5FC6}">
  <dimension ref="A3:K18"/>
  <sheetViews>
    <sheetView zoomScale="104" zoomScaleNormal="104" workbookViewId="0">
      <selection activeCell="M11" sqref="M11"/>
    </sheetView>
  </sheetViews>
  <sheetFormatPr defaultRowHeight="14.5" x14ac:dyDescent="0.35"/>
  <cols>
    <col min="1" max="1" width="13.6328125" bestFit="1" customWidth="1"/>
    <col min="2" max="2" width="15.26953125" bestFit="1" customWidth="1"/>
    <col min="3" max="3" width="8.26953125" bestFit="1" customWidth="1"/>
    <col min="4" max="4" width="18.90625" customWidth="1"/>
    <col min="5" max="5" width="10.26953125" customWidth="1"/>
    <col min="6" max="6" width="4" customWidth="1"/>
    <col min="7" max="7" width="9.81640625" customWidth="1"/>
    <col min="8" max="8" width="12.54296875" customWidth="1"/>
    <col min="9" max="10" width="13.7265625" customWidth="1"/>
  </cols>
  <sheetData>
    <row r="3" spans="1:11" x14ac:dyDescent="0.35">
      <c r="A3" s="3" t="s">
        <v>16</v>
      </c>
      <c r="B3" s="3" t="s">
        <v>19</v>
      </c>
    </row>
    <row r="4" spans="1:11" x14ac:dyDescent="0.35">
      <c r="A4" s="3" t="s">
        <v>17</v>
      </c>
      <c r="B4" t="s">
        <v>14</v>
      </c>
      <c r="C4" t="s">
        <v>15</v>
      </c>
      <c r="D4" t="s">
        <v>18</v>
      </c>
    </row>
    <row r="5" spans="1:11" x14ac:dyDescent="0.35">
      <c r="A5" s="4" t="s">
        <v>14</v>
      </c>
      <c r="B5">
        <v>4</v>
      </c>
      <c r="C5">
        <v>2</v>
      </c>
      <c r="D5">
        <v>6</v>
      </c>
    </row>
    <row r="6" spans="1:11" x14ac:dyDescent="0.35">
      <c r="A6" s="4" t="s">
        <v>15</v>
      </c>
      <c r="B6">
        <v>1</v>
      </c>
      <c r="C6">
        <v>3</v>
      </c>
      <c r="D6">
        <v>4</v>
      </c>
    </row>
    <row r="7" spans="1:11" x14ac:dyDescent="0.35">
      <c r="A7" s="4" t="s">
        <v>18</v>
      </c>
      <c r="B7">
        <v>5</v>
      </c>
      <c r="C7">
        <v>5</v>
      </c>
      <c r="D7">
        <v>10</v>
      </c>
    </row>
    <row r="8" spans="1:11" x14ac:dyDescent="0.35">
      <c r="G8" s="8" t="s">
        <v>3</v>
      </c>
      <c r="H8" s="9"/>
      <c r="I8" s="9"/>
      <c r="J8" s="10"/>
    </row>
    <row r="9" spans="1:11" x14ac:dyDescent="0.35">
      <c r="G9" s="11" t="s">
        <v>2</v>
      </c>
      <c r="H9" s="6"/>
      <c r="I9" s="6" t="s">
        <v>26</v>
      </c>
      <c r="J9" s="6" t="s">
        <v>25</v>
      </c>
    </row>
    <row r="10" spans="1:11" x14ac:dyDescent="0.35">
      <c r="G10" s="12"/>
      <c r="H10" s="6" t="s">
        <v>24</v>
      </c>
      <c r="I10" s="6" t="s">
        <v>27</v>
      </c>
      <c r="J10" s="6" t="s">
        <v>28</v>
      </c>
    </row>
    <row r="11" spans="1:11" x14ac:dyDescent="0.35">
      <c r="G11" s="13"/>
      <c r="H11" s="6" t="s">
        <v>25</v>
      </c>
      <c r="I11" s="6" t="s">
        <v>29</v>
      </c>
      <c r="J11" s="6" t="s">
        <v>30</v>
      </c>
    </row>
    <row r="13" spans="1:11" x14ac:dyDescent="0.35">
      <c r="I13" s="16" t="s">
        <v>37</v>
      </c>
      <c r="J13" s="16" t="s">
        <v>38</v>
      </c>
      <c r="K13" t="s">
        <v>39</v>
      </c>
    </row>
    <row r="14" spans="1:11" x14ac:dyDescent="0.35">
      <c r="D14" t="s">
        <v>32</v>
      </c>
      <c r="E14" s="5">
        <v>4</v>
      </c>
      <c r="H14" t="s">
        <v>20</v>
      </c>
      <c r="I14" s="14">
        <f>(E14)/(E14+E15)</f>
        <v>0.8</v>
      </c>
    </row>
    <row r="15" spans="1:11" x14ac:dyDescent="0.35">
      <c r="D15" t="s">
        <v>33</v>
      </c>
      <c r="E15" s="5">
        <v>1</v>
      </c>
      <c r="H15" t="s">
        <v>21</v>
      </c>
      <c r="I15" s="14">
        <f>(E14)/(E14+E16)</f>
        <v>0.66666666666666663</v>
      </c>
    </row>
    <row r="16" spans="1:11" x14ac:dyDescent="0.35">
      <c r="D16" t="s">
        <v>34</v>
      </c>
      <c r="E16" s="5">
        <v>2</v>
      </c>
      <c r="H16" s="15" t="s">
        <v>22</v>
      </c>
      <c r="I16" s="14">
        <f>(2*I14*I15)/(I14+I15)</f>
        <v>0.72727272727272718</v>
      </c>
      <c r="J16">
        <v>75</v>
      </c>
      <c r="K16">
        <v>80</v>
      </c>
    </row>
    <row r="17" spans="4:11" x14ac:dyDescent="0.35">
      <c r="D17" t="s">
        <v>35</v>
      </c>
      <c r="E17" s="5">
        <v>3</v>
      </c>
      <c r="H17" s="15" t="s">
        <v>23</v>
      </c>
      <c r="I17" s="14">
        <f>(E14+E17)/10</f>
        <v>0.7</v>
      </c>
      <c r="J17">
        <v>71</v>
      </c>
      <c r="K17">
        <v>69</v>
      </c>
    </row>
    <row r="18" spans="4:11" x14ac:dyDescent="0.35">
      <c r="D18" t="s">
        <v>36</v>
      </c>
      <c r="E18" s="5">
        <f>SUM(E14:E17)</f>
        <v>10</v>
      </c>
    </row>
  </sheetData>
  <mergeCells count="2">
    <mergeCell ref="G8:J8"/>
    <mergeCell ref="G9:G1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2299-E51A-4216-BB23-35EA0720A601}">
  <dimension ref="A1"/>
  <sheetViews>
    <sheetView workbookViewId="0">
      <selection activeCell="C8" sqref="C8"/>
    </sheetView>
  </sheetViews>
  <sheetFormatPr defaultRowHeight="14.5" x14ac:dyDescent="0.35"/>
  <cols>
    <col min="1" max="1" width="100.26953125" customWidth="1"/>
  </cols>
  <sheetData>
    <row r="1" spans="1:1" ht="60.5" customHeight="1" x14ac:dyDescent="0.6">
      <c r="A1" s="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Confusion matrix</vt:lpstr>
      <vt:lpstr>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</dc:creator>
  <cp:lastModifiedBy>Sonali Sahai</cp:lastModifiedBy>
  <dcterms:created xsi:type="dcterms:W3CDTF">2015-06-05T18:17:20Z</dcterms:created>
  <dcterms:modified xsi:type="dcterms:W3CDTF">2026-04-14T12:56:28Z</dcterms:modified>
</cp:coreProperties>
</file>